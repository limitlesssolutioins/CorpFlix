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drawings/drawing8.xml" ContentType="application/vnd.openxmlformats-officedocument.drawing+xml"/>
  <Override PartName="/xl/charts/chart14.xml" ContentType="application/vnd.openxmlformats-officedocument.drawingml.chart+xml"/>
  <Override PartName="/xl/drawings/drawing9.xml" ContentType="application/vnd.openxmlformats-officedocument.drawing+xml"/>
  <Override PartName="/xl/charts/chart1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dal Prudencio\OneDrive\DISCO D\Sistema de Mejoramiento Alutrafic\1. PLANIFICACION\5. Registros\Aplicación\4. AMBIENTAL\"/>
    </mc:Choice>
  </mc:AlternateContent>
  <xr:revisionPtr revIDLastSave="0" documentId="13_ncr:1_{30196F3D-F570-49F4-8963-601FF3DFBF1C}" xr6:coauthVersionLast="47" xr6:coauthVersionMax="47" xr10:uidLastSave="{00000000-0000-0000-0000-000000000000}"/>
  <bookViews>
    <workbookView xWindow="-108" yWindow="-108" windowWidth="23256" windowHeight="12456" tabRatio="583" activeTab="3" xr2:uid="{00000000-000D-0000-FFFF-FFFF00000000}"/>
  </bookViews>
  <sheets>
    <sheet name="RESUMEN CONSOLIDADO" sheetId="9" r:id="rId1"/>
    <sheet name="RESUMEN POR CAPÍTULO" sheetId="8" r:id="rId2"/>
    <sheet name="CONTEXTO" sheetId="2" r:id="rId3"/>
    <sheet name="LIDERAZGO" sheetId="1" r:id="rId4"/>
    <sheet name="PLANIFICACIÓN" sheetId="11" r:id="rId5"/>
    <sheet name="APOYO" sheetId="12" r:id="rId6"/>
    <sheet name="OPERACIÓN" sheetId="5" r:id="rId7"/>
    <sheet name="EVALUACIÓN DEL DESEMPEÑO" sheetId="6" r:id="rId8"/>
    <sheet name="MEJORA" sheetId="7" r:id="rId9"/>
    <sheet name="PLAN DE ACCIÓN" sheetId="10" r:id="rId10"/>
  </sheets>
  <definedNames>
    <definedName name="_xlnm.Print_Area" localSheetId="2">CONTEXTO!$B$2:$K$29</definedName>
    <definedName name="_xlnm.Print_Area" localSheetId="7">'EVALUACIÓN DEL DESEMPEÑO'!$B$2:$K$49</definedName>
    <definedName name="_xlnm.Print_Area" localSheetId="3">LIDERAZGO!$B$2:$K$32</definedName>
    <definedName name="_xlnm.Print_Area" localSheetId="8">MEJORA!$B$2:$K$18</definedName>
    <definedName name="_xlnm.Print_Area" localSheetId="6">OPERACIÓN!$B$2:$K$22</definedName>
    <definedName name="_xlnm.Print_Area" localSheetId="4">PLANIFICACIÓN!$B$2:$K$46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2" l="1"/>
  <c r="K4" i="9" s="1"/>
  <c r="P7" i="7"/>
  <c r="K10" i="9" s="1"/>
  <c r="P6" i="7"/>
  <c r="P5" i="7"/>
  <c r="P4" i="7"/>
  <c r="E15" i="7"/>
  <c r="F15" i="7"/>
  <c r="D15" i="7"/>
  <c r="S9" i="6"/>
  <c r="K9" i="9" s="1"/>
  <c r="S8" i="6"/>
  <c r="S7" i="6"/>
  <c r="S6" i="6"/>
  <c r="S5" i="6"/>
  <c r="S4" i="6"/>
  <c r="S3" i="6"/>
  <c r="S2" i="6"/>
  <c r="E32" i="6"/>
  <c r="F32" i="6"/>
  <c r="E49" i="6"/>
  <c r="F49" i="6"/>
  <c r="D49" i="6"/>
  <c r="E19" i="6"/>
  <c r="F19" i="6"/>
  <c r="D19" i="6"/>
  <c r="E12" i="6"/>
  <c r="F12" i="6"/>
  <c r="D12" i="6"/>
  <c r="S4" i="5"/>
  <c r="S3" i="5"/>
  <c r="S5" i="5"/>
  <c r="K8" i="9" s="1"/>
  <c r="E12" i="5"/>
  <c r="F12" i="5"/>
  <c r="E22" i="5"/>
  <c r="F22" i="5"/>
  <c r="D22" i="5"/>
  <c r="D12" i="5"/>
  <c r="V13" i="12"/>
  <c r="K7" i="9" s="1"/>
  <c r="V12" i="12"/>
  <c r="V11" i="12"/>
  <c r="V10" i="12"/>
  <c r="V9" i="12"/>
  <c r="V8" i="12"/>
  <c r="V7" i="12"/>
  <c r="V6" i="12"/>
  <c r="V5" i="12"/>
  <c r="V4" i="12"/>
  <c r="V3" i="12"/>
  <c r="V2" i="12"/>
  <c r="E46" i="12"/>
  <c r="F46" i="12"/>
  <c r="D46" i="12"/>
  <c r="E41" i="12"/>
  <c r="F41" i="12"/>
  <c r="D41" i="12"/>
  <c r="E38" i="12"/>
  <c r="F38" i="12"/>
  <c r="D38" i="12"/>
  <c r="D33" i="12"/>
  <c r="D30" i="12"/>
  <c r="D26" i="12"/>
  <c r="D20" i="12"/>
  <c r="F13" i="12"/>
  <c r="E13" i="12"/>
  <c r="D13" i="12"/>
  <c r="E33" i="12"/>
  <c r="F33" i="12"/>
  <c r="F30" i="12"/>
  <c r="E30" i="12"/>
  <c r="F26" i="12"/>
  <c r="E26" i="12"/>
  <c r="E20" i="12"/>
  <c r="F20" i="12"/>
  <c r="D5" i="12"/>
  <c r="F5" i="12"/>
  <c r="E5" i="12"/>
  <c r="X12" i="11"/>
  <c r="X11" i="11"/>
  <c r="X9" i="11"/>
  <c r="X8" i="11"/>
  <c r="X7" i="11"/>
  <c r="X6" i="11"/>
  <c r="X13" i="11"/>
  <c r="K6" i="9" s="1"/>
  <c r="X10" i="11"/>
  <c r="X5" i="11"/>
  <c r="F46" i="11"/>
  <c r="E46" i="11"/>
  <c r="D46" i="11"/>
  <c r="E42" i="11"/>
  <c r="F42" i="11"/>
  <c r="D42" i="11"/>
  <c r="F32" i="11"/>
  <c r="E32" i="11"/>
  <c r="D32" i="11"/>
  <c r="F27" i="11"/>
  <c r="E27" i="11"/>
  <c r="D27" i="11"/>
  <c r="D21" i="11"/>
  <c r="F21" i="11"/>
  <c r="E21" i="11"/>
  <c r="F13" i="11"/>
  <c r="E13" i="11"/>
  <c r="S7" i="1"/>
  <c r="K5" i="9" s="1"/>
  <c r="S6" i="1"/>
  <c r="S5" i="1"/>
  <c r="S4" i="1"/>
  <c r="F32" i="1"/>
  <c r="E32" i="1"/>
  <c r="D32" i="1"/>
  <c r="F26" i="1"/>
  <c r="E26" i="1"/>
  <c r="D26" i="1"/>
  <c r="D14" i="1"/>
  <c r="D14" i="2"/>
  <c r="D7" i="2"/>
  <c r="F14" i="1"/>
  <c r="E14" i="1"/>
  <c r="F29" i="2"/>
  <c r="E29" i="2"/>
  <c r="D29" i="2"/>
  <c r="F14" i="2"/>
  <c r="E14" i="2"/>
  <c r="F7" i="2"/>
  <c r="E7" i="2"/>
  <c r="D27" i="12" l="1"/>
  <c r="W7" i="12" s="1"/>
  <c r="D3" i="1"/>
  <c r="D3" i="2"/>
  <c r="D6" i="7"/>
  <c r="Q5" i="7" s="1"/>
  <c r="D13" i="5"/>
  <c r="T4" i="5" s="1"/>
  <c r="D33" i="6"/>
  <c r="T8" i="6" s="1"/>
  <c r="D13" i="6"/>
  <c r="T4" i="6" s="1"/>
  <c r="D3" i="5"/>
  <c r="T3" i="5" s="1"/>
  <c r="T5" i="5" s="1"/>
  <c r="L8" i="9" s="1"/>
  <c r="D22" i="12"/>
  <c r="D39" i="12"/>
  <c r="W11" i="12" s="1"/>
  <c r="D42" i="12"/>
  <c r="W12" i="12" s="1"/>
  <c r="D35" i="12"/>
  <c r="D6" i="12"/>
  <c r="W3" i="12" s="1"/>
  <c r="D31" i="12"/>
  <c r="W8" i="12" s="1"/>
  <c r="D14" i="12"/>
  <c r="W4" i="12" s="1"/>
  <c r="D3" i="12"/>
  <c r="W2" i="12" s="1"/>
  <c r="D34" i="11"/>
  <c r="Y11" i="11" s="1"/>
  <c r="D28" i="11"/>
  <c r="Y9" i="11" s="1"/>
  <c r="D15" i="1"/>
  <c r="T5" i="1" s="1"/>
  <c r="D25" i="2"/>
  <c r="T5" i="2" s="1"/>
  <c r="W10" i="12" l="1"/>
  <c r="W6" i="12"/>
  <c r="D21" i="12"/>
  <c r="W5" i="12" s="1"/>
  <c r="D34" i="12"/>
  <c r="W9" i="12" s="1"/>
  <c r="D18" i="7"/>
  <c r="F18" i="7"/>
  <c r="E18" i="7"/>
  <c r="F25" i="6"/>
  <c r="E25" i="6"/>
  <c r="D25" i="6"/>
  <c r="D16" i="7" l="1"/>
  <c r="Q6" i="7" s="1"/>
  <c r="W13" i="12"/>
  <c r="L7" i="9" s="1"/>
  <c r="D21" i="6"/>
  <c r="D14" i="11"/>
  <c r="Y7" i="11" s="1"/>
  <c r="T4" i="1"/>
  <c r="D13" i="11"/>
  <c r="D4" i="11" s="1"/>
  <c r="Y6" i="11" s="1"/>
  <c r="T6" i="6" l="1"/>
  <c r="D22" i="11"/>
  <c r="D3" i="11" l="1"/>
  <c r="Y5" i="11" s="1"/>
  <c r="Y8" i="11"/>
  <c r="F5" i="7"/>
  <c r="E5" i="7"/>
  <c r="D5" i="7"/>
  <c r="D32" i="6"/>
  <c r="D26" i="6" s="1"/>
  <c r="D27" i="1"/>
  <c r="T6" i="1" s="1"/>
  <c r="T7" i="1" s="1"/>
  <c r="L5" i="9" s="1"/>
  <c r="F24" i="2"/>
  <c r="E24" i="2"/>
  <c r="D24" i="2"/>
  <c r="T2" i="2"/>
  <c r="D3" i="7" l="1"/>
  <c r="Q4" i="7" s="1"/>
  <c r="Q7" i="7" s="1"/>
  <c r="L10" i="9" s="1"/>
  <c r="T7" i="6"/>
  <c r="D20" i="6"/>
  <c r="T5" i="6" s="1"/>
  <c r="D15" i="2"/>
  <c r="T4" i="2" s="1"/>
  <c r="D4" i="6"/>
  <c r="D3" i="6" l="1"/>
  <c r="T2" i="6" s="1"/>
  <c r="T3" i="6"/>
  <c r="T9" i="6" l="1"/>
  <c r="L9" i="9" s="1"/>
  <c r="D8" i="2"/>
  <c r="T3" i="2" s="1"/>
  <c r="T6" i="2" s="1"/>
  <c r="L4" i="9" s="1"/>
  <c r="D43" i="11" l="1"/>
  <c r="D33" i="11" l="1"/>
  <c r="Y10" i="11" s="1"/>
  <c r="Y12" i="11"/>
  <c r="Y13" i="11" l="1"/>
  <c r="L6" i="9" s="1"/>
</calcChain>
</file>

<file path=xl/sharedStrings.xml><?xml version="1.0" encoding="utf-8"?>
<sst xmlns="http://schemas.openxmlformats.org/spreadsheetml/2006/main" count="544" uniqueCount="327">
  <si>
    <t>4.2 Comprensión de las necesidades y expectativas de las partes interesadas</t>
  </si>
  <si>
    <t>La organización debe determinar:</t>
  </si>
  <si>
    <t xml:space="preserve">Cuando se determina este alcance, la organización debe considerar: </t>
  </si>
  <si>
    <t>5.3. Roles, responsabilidades y autoridades en la organización</t>
  </si>
  <si>
    <t>COMPLETO</t>
  </si>
  <si>
    <t>PARCIAL</t>
  </si>
  <si>
    <t>NINGUNO</t>
  </si>
  <si>
    <t>QUÉ TIENE?</t>
  </si>
  <si>
    <t>QUE NOS FALTA</t>
  </si>
  <si>
    <t>NO APLICA</t>
  </si>
  <si>
    <t>La organización debe:</t>
  </si>
  <si>
    <t>7.3 Toma de conciencia</t>
  </si>
  <si>
    <t>7.4 Comunicación</t>
  </si>
  <si>
    <t>7.5.2 Creación y actualización</t>
  </si>
  <si>
    <t>7.5.3 Control de la información documentada</t>
  </si>
  <si>
    <r>
      <t xml:space="preserve">8.1 Planificación y control operacional </t>
    </r>
    <r>
      <rPr>
        <sz val="10"/>
        <color indexed="60"/>
        <rFont val="Arial"/>
        <family val="2"/>
      </rPr>
      <t xml:space="preserve"> </t>
    </r>
  </si>
  <si>
    <t>NUMERAL</t>
  </si>
  <si>
    <t>9 EVALUACIÓN DEL DESEMPEÑO</t>
  </si>
  <si>
    <t>a) a qué es necesario hacer seguimiento y qué es necesario medir;</t>
  </si>
  <si>
    <t>b) los métodos de seguimiento, medición, análisis y evaluación, según sea aplicable, para asegurar resultados válidos;</t>
  </si>
  <si>
    <r>
      <t xml:space="preserve">9.1 Seguimiento, medición, análisis y evaluación </t>
    </r>
    <r>
      <rPr>
        <sz val="10"/>
        <color indexed="60"/>
        <rFont val="Arial"/>
        <family val="2"/>
      </rPr>
      <t xml:space="preserve"> </t>
    </r>
  </si>
  <si>
    <r>
      <t xml:space="preserve">9.1.1 Generalidades </t>
    </r>
    <r>
      <rPr>
        <sz val="10"/>
        <color indexed="60"/>
        <rFont val="Arial"/>
        <family val="2"/>
      </rPr>
      <t xml:space="preserve"> </t>
    </r>
  </si>
  <si>
    <t xml:space="preserve">La organización debe determinar:  </t>
  </si>
  <si>
    <t>9.2 Auditoría interna</t>
  </si>
  <si>
    <t>c) seleccionar los auditores y llevar a cabo auditorías para asegurarse de la objetividad y la imparcialidad del proceso de auditoría;</t>
  </si>
  <si>
    <t>9.3 Revisión por la dirección</t>
  </si>
  <si>
    <t>10. MEJORA</t>
  </si>
  <si>
    <t>10.1 Generalidades</t>
  </si>
  <si>
    <t>10.2 No conformidad y acción correctiva</t>
  </si>
  <si>
    <t>10.3 Mejora continua</t>
  </si>
  <si>
    <t>8.OPERACIÓN</t>
  </si>
  <si>
    <t xml:space="preserve">La organización debe realizar el seguimiento y la revisión de la información sobre estas partes interesadas y sus requisitos pertientes. </t>
  </si>
  <si>
    <t>El alcance debe estar disponible y mantenerse  como información documentada estableciendo:</t>
  </si>
  <si>
    <t>Realizar el seguimiento y la revisiòn de la informaciòn  sobre estas cuestiones internas y externas</t>
  </si>
  <si>
    <t xml:space="preserve">6.1 Acciones para abordar riesgos  y oportunidades </t>
  </si>
  <si>
    <t>7. APOYO</t>
  </si>
  <si>
    <t>4.1 Comprensión de la organización y de su contexto</t>
  </si>
  <si>
    <t>Las cuestiones externas e internas que son pertinentes para su propósito y que afectan a su capacidad para lograr los resultados previstos de su sistema de gestión ambiental</t>
  </si>
  <si>
    <t>4.3 Determinación del alcance del sistema de gestión ambiental</t>
  </si>
  <si>
    <t>4.4 Sistema de Gestión Ambiental</t>
  </si>
  <si>
    <t xml:space="preserve">Para lograr los resultados previstos, incluida la mejora de su desempeño ambiental, la organización debe </t>
  </si>
  <si>
    <t>establecer, implementar, mantener y mejorar continuamente su sistema de gestión ambiental incluyendo los procesos e interacciones necesarias.</t>
  </si>
  <si>
    <t>Considerar  los apartados 4.1 y 4.2</t>
  </si>
  <si>
    <t>La alta dirección debe demostrar liderazgo y compromiso con respecto al Sistema de gestión ambiental</t>
  </si>
  <si>
    <t>5.1 Liderazgo y compromiso</t>
  </si>
  <si>
    <r>
      <rPr>
        <b/>
        <sz val="12"/>
        <color theme="1"/>
        <rFont val="Times New Roman"/>
        <family val="1"/>
      </rPr>
      <t>a.</t>
    </r>
    <r>
      <rPr>
        <sz val="12"/>
        <color theme="1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 xml:space="preserve">Las partes interesadas que son pertinentes al sistema de gestión ambiental; </t>
    </r>
  </si>
  <si>
    <r>
      <rPr>
        <b/>
        <sz val="12"/>
        <color theme="1"/>
        <rFont val="Times New Roman"/>
        <family val="1"/>
      </rPr>
      <t>b.</t>
    </r>
    <r>
      <rPr>
        <sz val="12"/>
        <color indexed="8"/>
        <rFont val="Times New Roman"/>
        <family val="1"/>
      </rPr>
      <t xml:space="preserve">Las necesidades y expectativas pertinentes (es decir, requisitos) de estas partes interesadas; </t>
    </r>
    <r>
      <rPr>
        <b/>
        <sz val="10"/>
        <color indexed="8"/>
        <rFont val="Arial"/>
        <family val="2"/>
      </rPr>
      <t/>
    </r>
  </si>
  <si>
    <r>
      <rPr>
        <b/>
        <sz val="12"/>
        <color theme="1"/>
        <rFont val="Times New Roman"/>
        <family val="1"/>
      </rPr>
      <t>c.</t>
    </r>
    <r>
      <rPr>
        <sz val="12"/>
        <color theme="1"/>
        <rFont val="Times New Roman"/>
        <family val="1"/>
      </rPr>
      <t xml:space="preserve"> cuáles de estas son requisitos legales y otros requisitos.</t>
    </r>
  </si>
  <si>
    <r>
      <rPr>
        <b/>
        <sz val="12"/>
        <color theme="1"/>
        <rFont val="Times New Roman"/>
        <family val="1"/>
      </rPr>
      <t>a.</t>
    </r>
    <r>
      <rPr>
        <sz val="12"/>
        <color theme="1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 xml:space="preserve">Las cuestiones externas e internas referidas en el apartado 4.1; </t>
    </r>
  </si>
  <si>
    <r>
      <rPr>
        <b/>
        <sz val="12"/>
        <color theme="1"/>
        <rFont val="Times New Roman"/>
        <family val="1"/>
      </rPr>
      <t>b.</t>
    </r>
    <r>
      <rPr>
        <sz val="12"/>
        <color theme="1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 xml:space="preserve">Los requisitos legales y otros requisitos a que se hace referencia en el apartado 4.2; </t>
    </r>
  </si>
  <si>
    <r>
      <rPr>
        <b/>
        <sz val="12"/>
        <color theme="1"/>
        <rFont val="Times New Roman"/>
        <family val="1"/>
      </rPr>
      <t>c.</t>
    </r>
    <r>
      <rPr>
        <sz val="12"/>
        <color theme="1"/>
        <rFont val="Times New Roman"/>
        <family val="1"/>
      </rPr>
      <t xml:space="preserve"> Las unidades, funciones y límites físicos de la organización;</t>
    </r>
  </si>
  <si>
    <r>
      <rPr>
        <b/>
        <sz val="12"/>
        <color theme="1"/>
        <rFont val="Times New Roman"/>
        <family val="1"/>
      </rPr>
      <t>d.</t>
    </r>
    <r>
      <rPr>
        <sz val="12"/>
        <color theme="1"/>
        <rFont val="Times New Roman"/>
        <family val="1"/>
      </rPr>
      <t xml:space="preserve"> Sus actividades, productos y servicios;</t>
    </r>
  </si>
  <si>
    <r>
      <rPr>
        <b/>
        <sz val="12"/>
        <color theme="1"/>
        <rFont val="Times New Roman"/>
        <family val="1"/>
      </rPr>
      <t xml:space="preserve">e. </t>
    </r>
    <r>
      <rPr>
        <sz val="12"/>
        <color theme="1"/>
        <rFont val="Times New Roman"/>
        <family val="1"/>
      </rPr>
      <t>Su autoridad y capacidad para ejercer control e influencia.</t>
    </r>
  </si>
  <si>
    <r>
      <t xml:space="preserve">»Todas las actividades, </t>
    </r>
    <r>
      <rPr>
        <sz val="12"/>
        <color indexed="8"/>
        <rFont val="Times New Roman"/>
        <family val="1"/>
      </rPr>
      <t>productos y servicios cubiertos por el sistema de gestión ambiental;</t>
    </r>
  </si>
  <si>
    <r>
      <rPr>
        <b/>
        <sz val="12"/>
        <color theme="1"/>
        <rFont val="Times New Roman"/>
        <family val="1"/>
      </rPr>
      <t>a)</t>
    </r>
    <r>
      <rPr>
        <sz val="12"/>
        <color theme="1"/>
        <rFont val="Times New Roman"/>
        <family val="1"/>
      </rPr>
      <t xml:space="preserve"> asumiendo la responsabilidad y la obligaciòn de rendir cuentas con relación a la eficacia del sistema de gestión ambiental; </t>
    </r>
  </si>
  <si>
    <r>
      <rPr>
        <b/>
        <sz val="12"/>
        <color theme="1"/>
        <rFont val="Times New Roman"/>
        <family val="1"/>
      </rPr>
      <t>b)</t>
    </r>
    <r>
      <rPr>
        <sz val="12"/>
        <color theme="1"/>
        <rFont val="Times New Roman"/>
        <family val="1"/>
      </rPr>
      <t xml:space="preserve"> asegurando que se establezcan la política ambiental y los objetivos ambientales, y que éstos sean compatibles con la dirección estratégica y el contexto de la organización; </t>
    </r>
  </si>
  <si>
    <r>
      <rPr>
        <b/>
        <sz val="12"/>
        <color theme="1"/>
        <rFont val="Times New Roman"/>
        <family val="1"/>
      </rPr>
      <t>d)</t>
    </r>
    <r>
      <rPr>
        <sz val="12"/>
        <color theme="1"/>
        <rFont val="Times New Roman"/>
        <family val="1"/>
      </rPr>
      <t xml:space="preserve"> Asegurando que los recursos necesarios para el sistema de gestión ambiental estén disponibles</t>
    </r>
  </si>
  <si>
    <r>
      <rPr>
        <b/>
        <sz val="12"/>
        <color theme="1"/>
        <rFont val="Times New Roman"/>
        <family val="1"/>
      </rPr>
      <t>c) a</t>
    </r>
    <r>
      <rPr>
        <sz val="12"/>
        <color theme="1"/>
        <rFont val="Times New Roman"/>
        <family val="1"/>
      </rPr>
      <t>segurándose de la integración de los requisitos del Sistema de Gestión ambiental en los procesos de negocios de la organización</t>
    </r>
  </si>
  <si>
    <r>
      <rPr>
        <b/>
        <sz val="12"/>
        <color theme="1"/>
        <rFont val="Times New Roman"/>
        <family val="1"/>
      </rPr>
      <t>e)</t>
    </r>
    <r>
      <rPr>
        <sz val="12"/>
        <color theme="1"/>
        <rFont val="Times New Roman"/>
        <family val="1"/>
      </rPr>
      <t xml:space="preserve"> comunicando la importancia de una gestión ambiental eficaz y conforme con los requisitos del sistema de gestión ambiental</t>
    </r>
  </si>
  <si>
    <t>La alta dirección debe establecer, implementar y mantener una política ambiental que, dentro del alcance definido de su sistema de gestión ambiental:</t>
  </si>
  <si>
    <r>
      <rPr>
        <b/>
        <sz val="12"/>
        <color theme="1"/>
        <rFont val="Times New Roman"/>
        <family val="1"/>
      </rPr>
      <t>c)</t>
    </r>
    <r>
      <rPr>
        <sz val="12"/>
        <color theme="1"/>
        <rFont val="Times New Roman"/>
        <family val="1"/>
      </rPr>
      <t xml:space="preserve"> incluya un compromiso con la protección del medio ambient, incluida la prevención de la contaminación, y otros compromisos específicos pertinentes al contexto de la organización;</t>
    </r>
  </si>
  <si>
    <r>
      <rPr>
        <b/>
        <sz val="12"/>
        <color theme="1"/>
        <rFont val="Times New Roman"/>
        <family val="1"/>
      </rPr>
      <t>a)</t>
    </r>
    <r>
      <rPr>
        <sz val="12"/>
        <color theme="1"/>
        <rFont val="Times New Roman"/>
        <family val="1"/>
      </rPr>
      <t xml:space="preserve"> sea apropiada al propósito y contexto de la organización, incluida la naturaleza, magnitud e impactos ambientales de sus actividades, productos y servicios;</t>
    </r>
  </si>
  <si>
    <t>La política ambiental debe:</t>
  </si>
  <si>
    <r>
      <rPr>
        <b/>
        <sz val="12"/>
        <color rgb="FF000000"/>
        <rFont val="Times New Roman"/>
        <family val="1"/>
      </rPr>
      <t xml:space="preserve">La alta dirección debe asegurarse de que las responsabilidades y autoridades para los roles pertinentes se asignen, se comuniquen y se entiendan dentro de la organización. 
</t>
    </r>
    <r>
      <rPr>
        <sz val="12"/>
        <color rgb="FF000000"/>
        <rFont val="Times New Roman"/>
        <family val="1"/>
      </rPr>
      <t xml:space="preserve">
</t>
    </r>
  </si>
  <si>
    <t xml:space="preserve">La alta dirección debe asignar la responsabilidad y autoridad para: </t>
  </si>
  <si>
    <r>
      <rPr>
        <b/>
        <sz val="12"/>
        <color rgb="FF000000"/>
        <rFont val="Times New Roman"/>
        <family val="1"/>
      </rPr>
      <t>a)</t>
    </r>
    <r>
      <rPr>
        <sz val="12"/>
        <color rgb="FF000000"/>
        <rFont val="Times New Roman"/>
        <family val="1"/>
      </rPr>
      <t xml:space="preserve"> asegurarse de que el sistema de gestión ambiental es conforme con los requisitos de esta Norma Internacional; </t>
    </r>
  </si>
  <si>
    <r>
      <rPr>
        <b/>
        <sz val="12"/>
        <color rgb="FF000000"/>
        <rFont val="Times New Roman"/>
        <family val="1"/>
      </rPr>
      <t>b)</t>
    </r>
    <r>
      <rPr>
        <sz val="12"/>
        <color rgb="FF000000"/>
        <rFont val="Times New Roman"/>
        <family val="1"/>
      </rPr>
      <t xml:space="preserve"> informar en particular a la alta dirección el desempeño del sistema de gestión ambiental, incluyendo su desempeño</t>
    </r>
  </si>
  <si>
    <t>La organización debe establecer, implementar y mantener los procesos necesarios para cumplir con los requisitos de los apartados 6.1.1 a 6.1.4.</t>
  </si>
  <si>
    <t>Al planificar el sisteme de gestión ambiental la organización debe considerar: a) las cuestiones referidas en el apartado 4.1; b) los requisitos referidos en el apartado 4.2; c) el alcance de su sistema de gestión ambiental;</t>
  </si>
  <si>
    <t>Prevenir o reducir los efectos no deseados.</t>
  </si>
  <si>
    <t>Asegura que el sistema de gestión ambiental puede lograr los resultados previstos</t>
  </si>
  <si>
    <t>Lograr la mejora continua</t>
  </si>
  <si>
    <t>La organización mantiene la información documentada de sus riesgos y oportunidades que son necesario abordar</t>
  </si>
  <si>
    <t>Dentro del alcance del sistema de gestión ambiental, la organización  determinara las situaciones de emergencia potenciales, incluidas las que pueden tener un impacto ambiental</t>
  </si>
  <si>
    <t>6.1.2 Aspectos ambientales</t>
  </si>
  <si>
    <t>Dentro del alcance definido del sistema de gestión ambiental, la organización determinara los aspectos ambientales de sus actividades, productos y servicios</t>
  </si>
  <si>
    <t>Cuando se determinan los aspectos ambientales, la organización tiene en cuenta los cambios, incluidos los desarrollos nuevos o planificados, y las actividades, productos y servicios nuevos o modificados</t>
  </si>
  <si>
    <t>La organización tiene en cuenta las condiciones anormales y las situaciones de emergencia razonablemente previsibles</t>
  </si>
  <si>
    <t>La  organización determina  aquellos  aspectos  que  tengan  o  puedan  tener  un  impacto ambiental  significativo,  es  decir,  los  aspectos  ambientales  significativos,  mediante  el  uso  de criterios establecidos?</t>
  </si>
  <si>
    <t>La organización determinara aquellos aspectos que tengan o puedan tener un impacto ambiental significativo</t>
  </si>
  <si>
    <t>6.1.3 Requisitos legales y otros requisitos</t>
  </si>
  <si>
    <t>a) determinar y tener acceso a los requisitos legales y otros requisitos relacionados con sus aspectos ambientales;</t>
  </si>
  <si>
    <t>b) determinar cómo estos requisitos legales y otros requisitos se aplican a la organización;</t>
  </si>
  <si>
    <t>c) tener en cuenta estos requisitos legales y otros requisitos cuando se establezca, implemente, mantenga y mejore continuamente su sistema de gestión ambiental.</t>
  </si>
  <si>
    <t>La organización mantiene  información documentada de sus requisitos legales y otros requisitos</t>
  </si>
  <si>
    <t>La organización debe considerar sus opciones tecnológicas y sus requisitos financieros, operacionales y de negocio.</t>
  </si>
  <si>
    <t>6.2 Objetivos ambientales y planificación para lograrlos</t>
  </si>
  <si>
    <r>
      <t xml:space="preserve">6.1.1 Generalidades </t>
    </r>
    <r>
      <rPr>
        <sz val="12"/>
        <color indexed="8"/>
        <rFont val="Time new roman"/>
      </rPr>
      <t xml:space="preserve"> </t>
    </r>
  </si>
  <si>
    <r>
      <t xml:space="preserve">La organización </t>
    </r>
    <r>
      <rPr>
        <b/>
        <sz val="12"/>
        <color theme="1"/>
        <rFont val="Time new roman"/>
      </rPr>
      <t xml:space="preserve"> </t>
    </r>
    <r>
      <rPr>
        <sz val="12"/>
        <color theme="1"/>
        <rFont val="Time new roman"/>
      </rPr>
      <t>mantiene información documentada de sus aspectos ambientales e impactos ambientales asociados, criterios usados para determinar sus aspectos ambientales significativos y  aspectos ambientales significativos</t>
    </r>
  </si>
  <si>
    <r>
      <rPr>
        <b/>
        <sz val="12"/>
        <color theme="1"/>
        <rFont val="Time new roman"/>
      </rPr>
      <t>a)</t>
    </r>
    <r>
      <rPr>
        <sz val="12"/>
        <color theme="1"/>
        <rFont val="Time new roman"/>
      </rPr>
      <t xml:space="preserve"> La organización debe planificar la toma de acciones para abordar sus aspectos ambientales significativos; requisitos legales y otros requisitos; riesgos y oportunidades identificados en el apartado 6.1.1.</t>
    </r>
  </si>
  <si>
    <r>
      <rPr>
        <b/>
        <sz val="12"/>
        <color rgb="FF000000"/>
        <rFont val="Time new roman"/>
      </rPr>
      <t xml:space="preserve">b) </t>
    </r>
    <r>
      <rPr>
        <sz val="12"/>
        <color rgb="FF000000"/>
        <rFont val="Time new roman"/>
      </rPr>
      <t>Debe planificar la manera de integrar e interpretar las acciones en los procesos de su sistema de gestión ambiental, planificar la manera de evaluar la eficacia de estas acciones.</t>
    </r>
  </si>
  <si>
    <t>La organización conserva información documentada sobre los objetivos ambientales</t>
  </si>
  <si>
    <t>6.2.1 Objetivos ambientales</t>
  </si>
  <si>
    <t>6.2.2 Planificación de acciones para lograr los objetivos ambientales</t>
  </si>
  <si>
    <t>Al planificar cómo lograr sus objetivos ambientales, la organización determina, qué se va a hacer, qué recursos se requerirán, quién será responsable,  cuándo se finalizará, cómo se evaluarán los resultados</t>
  </si>
  <si>
    <t>La organización considera cómo se pueden integrar las acciones para el logro de sus objetivos ambientales a los procesos de negocio de la organización</t>
  </si>
  <si>
    <t>6.1.4 Planificación de acciones</t>
  </si>
  <si>
    <t>Alutrafic determina y proporciona los recursos necesarios para el establecimiento, implementación, mantenimiento y mejora continua del sistema de gestión ambiental</t>
  </si>
  <si>
    <t>7.1 Recursos</t>
  </si>
  <si>
    <t>7.2 Competensia</t>
  </si>
  <si>
    <t>¿La organización debe conservar información documentada apropiada, como evidencia de la competencia?</t>
  </si>
  <si>
    <t>Alutrafic determina cuando sea aplicable, tomar acciones para adquirir la competencia necesaria y evaluar la eficacia de las acciones tomadas?</t>
  </si>
  <si>
    <t>La organización debe asegurarse de que las personas que realicen el trabajo bajo el control de la organización tomen conciencia</t>
  </si>
  <si>
    <r>
      <rPr>
        <b/>
        <sz val="12"/>
        <color theme="1"/>
        <rFont val="Times New Roman"/>
        <family val="1"/>
      </rPr>
      <t>a.</t>
    </r>
    <r>
      <rPr>
        <sz val="12"/>
        <color theme="1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La política ambiental</t>
    </r>
  </si>
  <si>
    <r>
      <rPr>
        <b/>
        <sz val="12"/>
        <color theme="1"/>
        <rFont val="Times New Roman"/>
        <family val="1"/>
      </rPr>
      <t>b.</t>
    </r>
    <r>
      <rPr>
        <sz val="12"/>
        <color theme="1"/>
        <rFont val="Times New Roman"/>
        <family val="1"/>
      </rPr>
      <t xml:space="preserve"> </t>
    </r>
    <r>
      <rPr>
        <sz val="12"/>
        <color indexed="8"/>
        <rFont val="Times New Roman"/>
        <family val="1"/>
      </rPr>
      <t>los aspectos ambientales significativos y los impactos ambientales reales o potenciales
relacionados, asociados con su trabajo;</t>
    </r>
  </si>
  <si>
    <r>
      <rPr>
        <b/>
        <sz val="12"/>
        <color theme="1"/>
        <rFont val="Times New Roman"/>
        <family val="1"/>
      </rPr>
      <t>c.</t>
    </r>
    <r>
      <rPr>
        <sz val="12"/>
        <color theme="1"/>
        <rFont val="Times New Roman"/>
        <family val="1"/>
      </rPr>
      <t xml:space="preserve"> su contribución a la eficacia del sistema de gestión ambiental, incluidos los beneficios
de una mejora del desempeño ambiental;</t>
    </r>
  </si>
  <si>
    <r>
      <rPr>
        <b/>
        <sz val="12"/>
        <color theme="1"/>
        <rFont val="Times New Roman"/>
        <family val="1"/>
      </rPr>
      <t>d.</t>
    </r>
    <r>
      <rPr>
        <sz val="12"/>
        <color theme="1"/>
        <rFont val="Times New Roman"/>
        <family val="1"/>
      </rPr>
      <t xml:space="preserve"> las implicaciones de no satisfacer los requisitos del sistema de gestión ambiental,
incluido el incumplimiento de los requisitos legales y otros requisitos de la organización.</t>
    </r>
  </si>
  <si>
    <t>7.4.1 Generalidades</t>
  </si>
  <si>
    <t>La organización debe establecer, implementar y mantener los procesos necesarios para las
comunicaciones internas y externas pertinentes al sistema de gestión ambiental, que incluyan: a) que comunicar; b) cuándo counicar; c) a quién comunicar; d) cómo comunicar</t>
  </si>
  <si>
    <t>Cuando establece los procesos de comunicación Alutrafic tiene en cuanta los requisitos legales y otros requisitos, asegura que la información ambiental comunicada sea coherente con la información generada dentro del sistema de gestión ambiental, a que sea fiable</t>
  </si>
  <si>
    <t>La organización conserva la información documentada como evidencia de sus comunicaciones, según corresponda.</t>
  </si>
  <si>
    <t>7.4.2 Comunicación Interna</t>
  </si>
  <si>
    <t>a) La organización comunica internamente la información pertinente del sistema de gestión ambiental entre los diversos niveles y funciones de la organización, incluidos los cambios en el sistema de gestión ambiental, según corresponda;</t>
  </si>
  <si>
    <t>b) La organización asegura que sus procesos de comunicación permitan que las personas que realicen trabajos bajo control de la organización contribuyan a la mejora continua.</t>
  </si>
  <si>
    <t>7.4.3 Comunicación externa</t>
  </si>
  <si>
    <t>La organización comunica externamente información pertinente al sistema de gestión ambiental, según se establezca en los procesos de comunicación de la organización</t>
  </si>
  <si>
    <t>7.5 INFORMACIÓN DOCUMENTADA</t>
  </si>
  <si>
    <t>7.5.1 Generalidades.</t>
  </si>
  <si>
    <t>El sistema de gestión ambiental debe incluir, información documentada requerida por esta Norma Internacional</t>
  </si>
  <si>
    <t>El sistema de gestión ambiental de la organización determina información documentada como necesaria para la eficacia del sistema de gestión ambiental</t>
  </si>
  <si>
    <t>Al crear y actualizar la información documentada, la organización se asegura de que lo siguiente sea apropiado:La identificación y descripción, el formato la revisión y aprobación</t>
  </si>
  <si>
    <t>Para el control de la información documentada, la organización aborda distribución, acceso, recuperación, uso, almacenamiento y preservación, incluida la preservación de la legibilidad, control de cambios (por ejemplo, control de versión),conservación y disposición</t>
  </si>
  <si>
    <r>
      <rPr>
        <b/>
        <sz val="12"/>
        <color theme="1"/>
        <rFont val="Times New Roman"/>
        <family val="1"/>
      </rPr>
      <t xml:space="preserve">a) </t>
    </r>
    <r>
      <rPr>
        <sz val="12"/>
        <color theme="1"/>
        <rFont val="Times New Roman"/>
        <family val="1"/>
      </rPr>
      <t>La información documentada requerida por el sistema de gestión ambiental y por esta Norma Internacional se controla para asegurarse de que esté disponible y sea idónea para su uso, dónde y cuándo se necesite</t>
    </r>
  </si>
  <si>
    <r>
      <rPr>
        <b/>
        <sz val="12"/>
        <color theme="1"/>
        <rFont val="Times New Roman"/>
        <family val="1"/>
      </rPr>
      <t>b)</t>
    </r>
    <r>
      <rPr>
        <sz val="12"/>
        <color theme="1"/>
        <rFont val="Times New Roman"/>
        <family val="1"/>
      </rPr>
      <t xml:space="preserve"> Qué esté  protegida  adecuadamente  (por  ejemplo,  contra  pérdida  de  confidencialidad, uso
inadecuado, o pérdida de integridad)</t>
    </r>
  </si>
  <si>
    <t>La organización  establece, implementa, controla y mantiene los procesos necesarios para satisfacer los requisitos del sistema de gestión ambiental</t>
  </si>
  <si>
    <t>La  organización se asegura de  que  los  procesos  contratados  externamente  estén  controlados o que se tenga influencia sobre ellos</t>
  </si>
  <si>
    <t>a) La organización establece  los  controles,  según  corresponda,  para  asegurarse  de  que  sus  requisitos ambientales  se  aborden  en  el  proceso  de  diseño  y  desarrollo  del  producto  o  servicio, considerando cada etapa de su ciclo de vida</t>
  </si>
  <si>
    <t>b) La organización determina sus  requisitos  ambientales  para  la  compra  de  productos  y  servicios,  según corresponda.</t>
  </si>
  <si>
    <t>c) La organización comunicar sus requisitos ambientales pertinentes a los proveedores externos, incluidos los contratistas</t>
  </si>
  <si>
    <t>d) La organización considera la necesidad de suministrar información acerca de los impactos ambientales potenciales significativos asociados con el transporte o la entrega, el uso, el tratamiento al fin de la vida útil y la disposición final de sus productos o servicios.</t>
  </si>
  <si>
    <t>La organización mantiene la información documentada en la medida necesaria para tener la confianza en que los procesos se han llevado a cabo según lo planificado.</t>
  </si>
  <si>
    <t>8.2 Preparación y respuesta ante emergencia</t>
  </si>
  <si>
    <t>La  organización establece,  implementa y  mantiene  los  procesos  necesarios  acerca  decómo  prepararse  y  responder  a  situaciones  potenciales  de  emergencia  identificadas  en  el apartado 6.1.1</t>
  </si>
  <si>
    <t>a) La organización está preprada para responder, mediante la planificación de acciones para prevenir o mitigar los impactos ambientales adversos provocados por situaciones de emergencia.</t>
  </si>
  <si>
    <t>b) La organización responde a situaciones de emergencia reales</t>
  </si>
  <si>
    <t>c) La organización toma acciones  para  prevenir  o  mitigar  las  consecuencias  de  las  situaciones  de emergencia,  apropiadas  a  la  magnitud  de  la  emergencia  y  al  impacto  ambiental potencial.</t>
  </si>
  <si>
    <t>d) La organización toma  acciones  para  prevenir  o  mitigar  las  consecuencias  de  las  situaciones  de emergencia,  apropiadas  a  la  magnitud  de  la  emergencia  y  al  impacto  ambiental potencial</t>
  </si>
  <si>
    <t>e) La rganización pone a prueba periodicamente las acciones de respuesta planificadas, cuando sea factible</t>
  </si>
  <si>
    <t>f) La organización proporciona  información  y  formación  pertinentes,  con  relación  a  la  preparación  y respuesta  ante  emergencias,  según  corresponda,  a  las  partes  interesadas  pertinentes,incluidas las personas que trabajan bajo su control</t>
  </si>
  <si>
    <t>La organización  mantiene la información documentada en la medida necesaria para tener confianza en que los procesos se llevan a cabo de la manera planificada</t>
  </si>
  <si>
    <t>La organización controla  los  cambios  planificados  y  examinar  las  consecuencias  de  los cambios  no  previstos,  tomando  acciones  para  mitigar  los  efectos  adversos,  cuando  sea necesario</t>
  </si>
  <si>
    <t>d) cuándo se deben llevar a cabo el seguimiento y la medición;</t>
  </si>
  <si>
    <t>e) cuándo se deben analizar y evaluar los resultados del seguimiento y la medición.</t>
  </si>
  <si>
    <t>c) Los criterios contra los cuales la organización evaluará su desempeño ambiental y los indicadores apropiados;</t>
  </si>
  <si>
    <t>La organización debe asegurarse de que se usan y mantienen equipos de segumiento y medición calibrados o verificados, según corresponda. Deberá evaluar el desempeño ambiental y la eficacia del sistema de gestión ambiental.
Asi como comunicar externa e internamente la información pertinente a su desempeño ambiental, según sus procesos de comunicación y como se exija en sus requisitos legales y otros requisitos. De igual forma debera conservar información documentada como evidencia del seguimiento, medición, análisis y la evaluación.</t>
  </si>
  <si>
    <t>9.1.2 Evaluación del cumplimiento</t>
  </si>
  <si>
    <t>c) mantener el conocimiento y la comprensión de su estado de cumplimiento</t>
  </si>
  <si>
    <t>La organización debe establecer, implementar y mantener los procesos necesarios para evaluar el cumplimiento de sus requisitos legales y otros requisitos. La organización debe:</t>
  </si>
  <si>
    <t>b) evaluar el cumplimiento y emprender las acciones que fueran necesarias;</t>
  </si>
  <si>
    <t>a) determinar la frecuencia con la que se evaluará el cumplimiento;</t>
  </si>
  <si>
    <t>La organización debe conservar información documentada como evidencia de los resultados de la evaluación del cumplimiento.</t>
  </si>
  <si>
    <t>La organización debe llevar a cabo auditorías internas a intervalos planificados, para proporcionar información acerca de si el sistema de gestión de la calidad:</t>
  </si>
  <si>
    <t>9.2.1 Generalidades</t>
  </si>
  <si>
    <t>9.2.2 Programa de auditoría interna</t>
  </si>
  <si>
    <t>La organización debe establecer, implementar y mantener uno o varios programas de auditoría que incluyan la frecuencia, los métodos, las responsabilidades, los requisitos de planificación y la elaboración de informes,cuando se establezca el programa de auditoria interna, la organización debe tener en cuenta la importancia ambiental de los procesos involucrados, los cambios que afectan a la organización y los resultados de las auditorias previas. La organización debe:</t>
  </si>
  <si>
    <t>a) para cada auditoría, definir los criterios y el alcance de ésta;</t>
  </si>
  <si>
    <t>c) asegurarse de que los resultados de las auditorías se informan a la dirección pertinente;</t>
  </si>
  <si>
    <t>conservar la información documentada como evidencia de la implementación del programa de auditoría y sus resultados.</t>
  </si>
  <si>
    <t>La alta dirección debe revisar el sistema de gestión ambiental de la organización a intervalos planificados, para asegurarse de su conveniencia, adecuación y eficacia continuas.</t>
  </si>
  <si>
    <t>La organización debe determinar y seleccionar las oportunidades de mejora (véanse 9.1, 9.2 y 9.3) e implementar las acciones necesarias para lograr los resultados previstos en su sistema de gestión ambiental.</t>
  </si>
  <si>
    <t>Cuando ocurra una no conformidad la organización debe:</t>
  </si>
  <si>
    <t>Las acciones correctivas deben ser adecuadas a los efectos de las no conformidades encontradas, incluidos los impactos ambientales</t>
  </si>
  <si>
    <t>La organización debe mejorar continuamente la conveniencia, adecuación y eficacia del sistema de gestión ambiental para mejorar el desempeño ambiental.</t>
  </si>
  <si>
    <t>QUÉ NOS FALTA</t>
  </si>
  <si>
    <r>
      <rPr>
        <b/>
        <sz val="12"/>
        <color theme="1"/>
        <rFont val="Times New Roman"/>
        <family val="1"/>
      </rPr>
      <t>f)</t>
    </r>
    <r>
      <rPr>
        <sz val="12"/>
        <color theme="1"/>
        <rFont val="Times New Roman"/>
        <family val="1"/>
      </rPr>
      <t xml:space="preserve"> asegurándose de que el sistema de gestión ambiental logre los resultados previstos;</t>
    </r>
  </si>
  <si>
    <r>
      <rPr>
        <b/>
        <sz val="12"/>
        <color theme="1"/>
        <rFont val="Times New Roman"/>
        <family val="1"/>
      </rPr>
      <t>h)</t>
    </r>
    <r>
      <rPr>
        <sz val="12"/>
        <color theme="1"/>
        <rFont val="Times New Roman"/>
        <family val="1"/>
      </rPr>
      <t xml:space="preserve">  Promover la mejora continua;</t>
    </r>
  </si>
  <si>
    <r>
      <rPr>
        <b/>
        <sz val="12"/>
        <color theme="1"/>
        <rFont val="Times New Roman"/>
        <family val="1"/>
      </rPr>
      <t>i)</t>
    </r>
    <r>
      <rPr>
        <sz val="12"/>
        <color theme="1"/>
        <rFont val="Times New Roman"/>
        <family val="1"/>
      </rPr>
      <t xml:space="preserve"> Apoyando otros roles pertinentes de la dirección, para demostrar su liderazgo aplicado a sus áreas de responsabilidad. </t>
    </r>
  </si>
  <si>
    <r>
      <rPr>
        <b/>
        <sz val="12"/>
        <color theme="1"/>
        <rFont val="Times New Roman"/>
        <family val="1"/>
      </rPr>
      <t>e)</t>
    </r>
    <r>
      <rPr>
        <sz val="12"/>
        <color theme="1"/>
        <rFont val="Times New Roman"/>
        <family val="1"/>
      </rPr>
      <t xml:space="preserve"> incluya un compromiso de mejora continua del seistema de gestión ambiental para la mejora del desempeño ambiental.</t>
    </r>
  </si>
  <si>
    <r>
      <rPr>
        <b/>
        <sz val="12"/>
        <color theme="1"/>
        <rFont val="Times New Roman"/>
        <family val="1"/>
      </rPr>
      <t>d)</t>
    </r>
    <r>
      <rPr>
        <sz val="12"/>
        <color theme="1"/>
        <rFont val="Times New Roman"/>
        <family val="1"/>
      </rPr>
      <t xml:space="preserve"> incluya un compromiso de cumplir con los requisitos legales y otros requisitos;</t>
    </r>
  </si>
  <si>
    <r>
      <rPr>
        <b/>
        <sz val="12"/>
        <color theme="1"/>
        <rFont val="Times New Roman"/>
        <family val="1"/>
      </rPr>
      <t xml:space="preserve">b) </t>
    </r>
    <r>
      <rPr>
        <sz val="12"/>
        <color theme="1"/>
        <rFont val="Times New Roman"/>
        <family val="1"/>
      </rPr>
      <t>proporcione un marco de referencia para el establecimiento de los objetivos ambientales;</t>
    </r>
  </si>
  <si>
    <r>
      <rPr>
        <b/>
        <sz val="12"/>
        <color theme="1"/>
        <rFont val="Times New Roman"/>
        <family val="1"/>
      </rPr>
      <t xml:space="preserve">» </t>
    </r>
    <r>
      <rPr>
        <sz val="12"/>
        <color theme="1"/>
        <rFont val="Times New Roman"/>
        <family val="1"/>
      </rPr>
      <t xml:space="preserve">mantenerse como información documentada; </t>
    </r>
  </si>
  <si>
    <r>
      <rPr>
        <b/>
        <sz val="12"/>
        <color theme="1"/>
        <rFont val="Times New Roman"/>
        <family val="1"/>
      </rPr>
      <t xml:space="preserve">» </t>
    </r>
    <r>
      <rPr>
        <sz val="12"/>
        <color theme="1"/>
        <rFont val="Times New Roman"/>
        <family val="1"/>
      </rPr>
      <t xml:space="preserve">comunicarse dentro de la organización; </t>
    </r>
  </si>
  <si>
    <r>
      <rPr>
        <b/>
        <sz val="12"/>
        <color theme="1"/>
        <rFont val="Times New Roman"/>
        <family val="1"/>
      </rPr>
      <t xml:space="preserve">» </t>
    </r>
    <r>
      <rPr>
        <sz val="12"/>
        <color theme="1"/>
        <rFont val="Times New Roman"/>
        <family val="1"/>
      </rPr>
      <t>estar disponible para las partes interesadas.</t>
    </r>
  </si>
  <si>
    <r>
      <t xml:space="preserve">La organización establece objetivos ambientales para las funciones y niveles pertinentes, teniendo en cuenta los aspectos ambientales significativos de la organización y sus requisitos legales y otros requisitos asociados y considerando sus riesgos y oportunidades. </t>
    </r>
    <r>
      <rPr>
        <b/>
        <sz val="12"/>
        <color rgb="FF000000"/>
        <rFont val="Time new roman"/>
      </rPr>
      <t>Los objetivos ambientales deben:</t>
    </r>
  </si>
  <si>
    <r>
      <rPr>
        <b/>
        <sz val="12"/>
        <color rgb="FF000000"/>
        <rFont val="Time new roman"/>
      </rPr>
      <t xml:space="preserve">a) </t>
    </r>
    <r>
      <rPr>
        <sz val="12"/>
        <color rgb="FF000000"/>
        <rFont val="Time new roman"/>
      </rPr>
      <t>Los objetivos ambientales son coherentes con la política ambiental;</t>
    </r>
  </si>
  <si>
    <r>
      <rPr>
        <b/>
        <sz val="12"/>
        <color rgb="FF000000"/>
        <rFont val="Time new roman"/>
      </rPr>
      <t xml:space="preserve">b) </t>
    </r>
    <r>
      <rPr>
        <sz val="12"/>
        <color rgb="FF000000"/>
        <rFont val="Time new roman"/>
      </rPr>
      <t>Los objetivos ambientales son medibles (si es factible);</t>
    </r>
  </si>
  <si>
    <r>
      <rPr>
        <b/>
        <sz val="12"/>
        <color theme="1"/>
        <rFont val="Time new roman"/>
      </rPr>
      <t xml:space="preserve">c) </t>
    </r>
    <r>
      <rPr>
        <sz val="12"/>
        <color theme="1"/>
        <rFont val="Time new roman"/>
      </rPr>
      <t>Los objetivos ambientales son objeto de seguimiento</t>
    </r>
  </si>
  <si>
    <r>
      <rPr>
        <b/>
        <sz val="12"/>
        <color rgb="FF000000"/>
        <rFont val="Time new roman"/>
      </rPr>
      <t xml:space="preserve">d) </t>
    </r>
    <r>
      <rPr>
        <sz val="12"/>
        <color rgb="FF000000"/>
        <rFont val="Time new roman"/>
      </rPr>
      <t>Los objetivos ambietales son comunicados en la organización</t>
    </r>
  </si>
  <si>
    <r>
      <rPr>
        <b/>
        <sz val="12"/>
        <color rgb="FF000000"/>
        <rFont val="Time new roman"/>
      </rPr>
      <t xml:space="preserve">e) </t>
    </r>
    <r>
      <rPr>
        <sz val="12"/>
        <color rgb="FF000000"/>
        <rFont val="Time new roman"/>
      </rPr>
      <t>Los objetivos ambientales son actualizados según correspondan</t>
    </r>
  </si>
  <si>
    <t>6. PLANIFICACIÓN</t>
  </si>
  <si>
    <t>Alutrafic determina la competencia  necesaria  de  las  personas  que  realizan  trabajos  bajo  su control,  que  afecte  a  su  desempeño  ambiental  y  su  capacidad  para  cumplir  sus requisitos legales y otros requisitos.</t>
  </si>
  <si>
    <t>Alutrafic asegura  de  que  estas  personas  sean competentes,  con  base  en  su  educación, formación o experiencia apropiadas.</t>
  </si>
  <si>
    <t>Alutrafic determina las necesidades de formación asociadas con sus aspectos ambientales y su sistema de gestión ambiental.</t>
  </si>
  <si>
    <r>
      <rPr>
        <b/>
        <sz val="10"/>
        <color theme="1"/>
        <rFont val="Arial"/>
        <family val="2"/>
      </rPr>
      <t>b)</t>
    </r>
    <r>
      <rPr>
        <sz val="10"/>
        <color theme="1"/>
        <rFont val="Arial"/>
        <family val="2"/>
      </rPr>
      <t xml:space="preserve"> está implementado y mantenido eficazmente.</t>
    </r>
  </si>
  <si>
    <r>
      <rPr>
        <b/>
        <sz val="10"/>
        <color rgb="FF000000"/>
        <rFont val="Arial"/>
        <family val="2"/>
      </rPr>
      <t>a)</t>
    </r>
    <r>
      <rPr>
        <sz val="10"/>
        <color rgb="FF000000"/>
        <rFont val="Arial"/>
        <family val="2"/>
      </rPr>
      <t xml:space="preserve"> es conforme con: 
1) los requisitos propios de la organización para su sistema de gestión ambiental; 
2) los requisitos de esta Norma Internacional</t>
    </r>
  </si>
  <si>
    <r>
      <rPr>
        <b/>
        <sz val="10"/>
        <color rgb="FF000000"/>
        <rFont val="Arial"/>
        <family val="2"/>
      </rPr>
      <t xml:space="preserve">a) </t>
    </r>
    <r>
      <rPr>
        <sz val="10"/>
        <color rgb="FF000000"/>
        <rFont val="Arial"/>
        <family val="2"/>
      </rPr>
      <t>incluye consideraciones sobre el estado de las acciones desde anteriores revisiones por la dirección;</t>
    </r>
  </si>
  <si>
    <r>
      <rPr>
        <b/>
        <sz val="10"/>
        <color rgb="FF000000"/>
        <rFont val="Arial"/>
        <family val="2"/>
      </rPr>
      <t>b)</t>
    </r>
    <r>
      <rPr>
        <sz val="10"/>
        <color rgb="FF000000"/>
        <rFont val="Arial"/>
        <family val="2"/>
      </rPr>
      <t xml:space="preserve"> incluye consideraciones sobre los cambios en:
1) las cuestiones externas e internas que sean pertinentes al sistema de gestión ambiental,
2) las necesidades y expectativas de las partes interesadas, incluidos los requisitos legales y otros requisitos.
3) sus aspectos ambientales significativos.
4) los riesgos y oportunidades</t>
    </r>
  </si>
  <si>
    <r>
      <rPr>
        <b/>
        <sz val="10"/>
        <color rgb="FF000000"/>
        <rFont val="Arial"/>
        <family val="2"/>
      </rPr>
      <t>c)</t>
    </r>
    <r>
      <rPr>
        <sz val="10"/>
        <color rgb="FF000000"/>
        <rFont val="Arial"/>
        <family val="2"/>
      </rPr>
      <t xml:space="preserve"> el grado en que se han logrado los objetivos ambientales;</t>
    </r>
  </si>
  <si>
    <r>
      <rPr>
        <b/>
        <sz val="10"/>
        <color rgb="FF000000"/>
        <rFont val="Arial"/>
        <family val="2"/>
      </rPr>
      <t>d)</t>
    </r>
    <r>
      <rPr>
        <sz val="10"/>
        <color rgb="FF000000"/>
        <rFont val="Arial"/>
        <family val="2"/>
      </rPr>
      <t xml:space="preserve"> la información sobre el desempeño ambiental de la organización, incluidas las tendencias relativas a:
1) no conformidades y acciones correctivas;
2) seguimiento y resultados de las mediciones;
3) cumplimiento de los requisitos legales y otros requisitos;
4) resultados de la auditoría;</t>
    </r>
  </si>
  <si>
    <r>
      <rPr>
        <b/>
        <sz val="10"/>
        <color rgb="FF000000"/>
        <rFont val="Arial"/>
        <family val="2"/>
      </rPr>
      <t>e)</t>
    </r>
    <r>
      <rPr>
        <sz val="10"/>
        <color rgb="FF000000"/>
        <rFont val="Arial"/>
        <family val="2"/>
      </rPr>
      <t xml:space="preserve"> adecuación de los recursos;</t>
    </r>
  </si>
  <si>
    <r>
      <rPr>
        <b/>
        <sz val="10"/>
        <color rgb="FF000000"/>
        <rFont val="Arial"/>
        <family val="2"/>
      </rPr>
      <t xml:space="preserve">f) </t>
    </r>
    <r>
      <rPr>
        <sz val="10"/>
        <color rgb="FF000000"/>
        <rFont val="Arial"/>
        <family val="2"/>
      </rPr>
      <t>las comunicaciones pertinentes de las partes interesadas, incluidas las quejas;</t>
    </r>
  </si>
  <si>
    <r>
      <rPr>
        <b/>
        <sz val="10"/>
        <color rgb="FF000000"/>
        <rFont val="Arial"/>
        <family val="2"/>
      </rPr>
      <t>g)</t>
    </r>
    <r>
      <rPr>
        <sz val="10"/>
        <color rgb="FF000000"/>
        <rFont val="Arial"/>
        <family val="2"/>
      </rPr>
      <t xml:space="preserve"> las oporunidades de mejora continua;</t>
    </r>
  </si>
  <si>
    <t>La revisión por la dirección incluye salidas de las conclusiones sobre la conveniencia, adecuación y eficacia continuas del sistema de gestión ambiental;</t>
  </si>
  <si>
    <t>La revisión por la dirección incluye salidas de las decisiones relacionadas con las oportunidades de meora continua;</t>
  </si>
  <si>
    <t>La revisión por la dirección incluye salidas de las decisiones relacionadas con cualquier necesidad de cambio en el sistema de gestión ambiental; incluidas los recursos;</t>
  </si>
  <si>
    <t>La revisión por la dirección incluye salidas de las acciones necesarias cuando no se hayan logrado los objetivos ambientales;</t>
  </si>
  <si>
    <t>La revisión por la dirección incluye salidas de las oportunidades de mejorar la integración del sistema de gestión ambiental a otros procesos de negocio, si fuera necesario;</t>
  </si>
  <si>
    <t xml:space="preserve"> La revisión por la dirección incluye salidas de cualquier implicación para la dirección estratégica de la organización.</t>
  </si>
  <si>
    <t>La organización conserva la información documentada como evidencia de los resultados de las revisiones por la dirección.</t>
  </si>
  <si>
    <r>
      <rPr>
        <b/>
        <sz val="10"/>
        <color theme="1"/>
        <rFont val="Arial"/>
        <family val="2"/>
      </rPr>
      <t>a)</t>
    </r>
    <r>
      <rPr>
        <sz val="10"/>
        <color theme="1"/>
        <rFont val="Arial"/>
        <family val="2"/>
      </rPr>
      <t xml:space="preserve"> reaccionar ante la no conformidad, cuando aplique:
1) tomar acciones para controlarla y corregirla;
2) hacer frente a las consecuencias incluida la mitigación de los impactos abientales adversos</t>
    </r>
  </si>
  <si>
    <r>
      <rPr>
        <b/>
        <sz val="10"/>
        <color theme="1"/>
        <rFont val="Arial"/>
        <family val="2"/>
      </rPr>
      <t>b)</t>
    </r>
    <r>
      <rPr>
        <sz val="10"/>
        <color theme="1"/>
        <rFont val="Arial"/>
        <family val="2"/>
      </rPr>
      <t xml:space="preserve"> evaluar la necesidad de acciones para eliminar las causas de la no conformidad, con el fin de que no vuelva a ocurrir ni ocurra en otra parte, mediante:
1) la revisión de la no conformidad;
2) la determinación de las causas de la no conformidad;
3) la determinación de si existen no conformidades similares, o que potencialmente podrían ocurrir;</t>
    </r>
  </si>
  <si>
    <r>
      <rPr>
        <b/>
        <sz val="10"/>
        <color theme="1"/>
        <rFont val="Arial"/>
        <family val="2"/>
      </rPr>
      <t>c)</t>
    </r>
    <r>
      <rPr>
        <sz val="10"/>
        <color theme="1"/>
        <rFont val="Arial"/>
        <family val="2"/>
      </rPr>
      <t xml:space="preserve"> implementar cualquier acción necesaria;</t>
    </r>
  </si>
  <si>
    <r>
      <rPr>
        <b/>
        <sz val="10"/>
        <color theme="1"/>
        <rFont val="Arial"/>
        <family val="2"/>
      </rPr>
      <t>d)</t>
    </r>
    <r>
      <rPr>
        <sz val="10"/>
        <color theme="1"/>
        <rFont val="Arial"/>
        <family val="2"/>
      </rPr>
      <t xml:space="preserve"> revisar la eficacia de las acciones correctivas tomadas;</t>
    </r>
  </si>
  <si>
    <r>
      <rPr>
        <b/>
        <sz val="10"/>
        <color theme="1"/>
        <rFont val="Arial"/>
        <family val="2"/>
      </rPr>
      <t>e)</t>
    </r>
    <r>
      <rPr>
        <sz val="10"/>
        <color theme="1"/>
        <rFont val="Arial"/>
        <family val="2"/>
      </rPr>
      <t xml:space="preserve"> si es necesario, hacer cambios al sistema de gestión ambiental.</t>
    </r>
  </si>
  <si>
    <t>La organización debe conservar información documentada, como evidencia de:
a) la naturaleza de las no conformidades y cualquier acción tomada posteriormente; y 
b) los resultados de cualquier acción correctiva.</t>
  </si>
  <si>
    <t>5. LIDERAZGO</t>
  </si>
  <si>
    <t>4. CONTEXTO DE LA ORGANIZACIÓN</t>
  </si>
  <si>
    <t>CUMPLIMIENTO</t>
  </si>
  <si>
    <t>ACCIONES</t>
  </si>
  <si>
    <t xml:space="preserve">RESPONSABLE </t>
  </si>
  <si>
    <t>FECHA</t>
  </si>
  <si>
    <t>Contexto estrategico.</t>
  </si>
  <si>
    <t>X</t>
  </si>
  <si>
    <t>Actualizar contexto teniendo en cuenta el taller  de DOFA enviado por Gerencia</t>
  </si>
  <si>
    <t>Recibir información de todos los procesos del analisis DOFA</t>
  </si>
  <si>
    <t xml:space="preserve">Seguiminetos anuales. </t>
  </si>
  <si>
    <t>Realizar año 2021. Esperamos la actualización .</t>
  </si>
  <si>
    <t>Angelica Paez</t>
  </si>
  <si>
    <t>Matriz de necesidades y expectativas de partes interesadas</t>
  </si>
  <si>
    <t>Verificar  Plan de ayuda mutua</t>
  </si>
  <si>
    <t>Revisión y aprobaci´n de gerencia</t>
  </si>
  <si>
    <t>Comité gerencial</t>
  </si>
  <si>
    <t xml:space="preserve">ACCIONES </t>
  </si>
  <si>
    <t xml:space="preserve">FECHA </t>
  </si>
  <si>
    <t>RESPONSABLE</t>
  </si>
  <si>
    <t>Gerencia</t>
  </si>
  <si>
    <t>Politica integrada, Programas ambientales</t>
  </si>
  <si>
    <t>Todos los procesos  entrads y salidas</t>
  </si>
  <si>
    <t>Presupuesto</t>
  </si>
  <si>
    <t>Programas con sus indicadores</t>
  </si>
  <si>
    <r>
      <rPr>
        <b/>
        <sz val="12"/>
        <color theme="1"/>
        <rFont val="Times New Roman"/>
        <family val="1"/>
      </rPr>
      <t>g)</t>
    </r>
    <r>
      <rPr>
        <sz val="12"/>
        <color theme="1"/>
        <rFont val="Times New Roman"/>
        <family val="1"/>
      </rPr>
      <t xml:space="preserve"> dirigiendo y apoyando a las personas, para contribuir a la eficacia del sistema de gestión ambiental;</t>
    </r>
  </si>
  <si>
    <t>Sensibiliacioes, capañas correos y whatsapp.</t>
  </si>
  <si>
    <t>Proceso y procedimiento</t>
  </si>
  <si>
    <t>Verificar descripció de cargo</t>
  </si>
  <si>
    <t>Inmediato</t>
  </si>
  <si>
    <t>Mariana Sarabia</t>
  </si>
  <si>
    <t>Descripciones de cargo</t>
  </si>
  <si>
    <t xml:space="preserve">Es el marco de referencia para los objetivos ambientales. </t>
  </si>
  <si>
    <t>Inluye la  prevencion ambiental</t>
  </si>
  <si>
    <t>En ella se encuentra el compromiso de cumplir requisitos legales.</t>
  </si>
  <si>
    <t>Se encuentra el compromiso de mejora continua.</t>
  </si>
  <si>
    <t>Politica Integrada, aprobada por Gerencia</t>
  </si>
  <si>
    <t>Se encuentra documentada y aprobada por gerencia</t>
  </si>
  <si>
    <t>Se encuentra en el Manual del Sistema de Gestión y la cartelera . Además se entrega   en la inducción y reinducción</t>
  </si>
  <si>
    <t>Cuando las partes interesads la requiera.</t>
  </si>
  <si>
    <t>Asignada la Cooedinadora HSEQ</t>
  </si>
  <si>
    <t>Comité Gerencial</t>
  </si>
  <si>
    <t>Hacer la revisión por la Dirección</t>
  </si>
  <si>
    <t>Programar y hacer la revisión por la dirección</t>
  </si>
  <si>
    <t>14 Procesos determinados</t>
  </si>
  <si>
    <t>a&lt;</t>
  </si>
  <si>
    <t>Incluir la parte ambiental y SST en el comité de gerencia</t>
  </si>
  <si>
    <t>Reinducción. Actas</t>
  </si>
  <si>
    <t>Incluir en el acta de inducción la parte ambiental</t>
  </si>
  <si>
    <t>Contexto estrategico</t>
  </si>
  <si>
    <t>Revisarlo con el taller que se está realizando con los responsables de porceso</t>
  </si>
  <si>
    <t>Determina los riesgos y oportunidades relacionados con sus: aspectos ambientales; requisitos legales y otros requisitos; »otras cuestiones y requisitos identificados en los apartados 4.1  4.2</t>
  </si>
  <si>
    <t>Matrices de riesgo y oportunidades</t>
  </si>
  <si>
    <t>Actualizar matrices de riesgos y oporyunidades</t>
  </si>
  <si>
    <t>Plan de emergencia</t>
  </si>
  <si>
    <t>Actualizar en caso necesario</t>
  </si>
  <si>
    <t>Matrices de riesgos</t>
  </si>
  <si>
    <t>Matriz de aspectos e impactos ambientales.</t>
  </si>
  <si>
    <t>Incluir Compras, para cumplir con el Ciclo de vida</t>
  </si>
  <si>
    <t>Revisar las matrices de riesgos y oportunidades</t>
  </si>
  <si>
    <t>Lideres de Procesos/Angelica Paez</t>
  </si>
  <si>
    <t>Procedimiento de Gestión de cambios</t>
  </si>
  <si>
    <t>Matriz de requisitos legales</t>
  </si>
  <si>
    <t>Actualizar matriz de aspectos e impactos ambientales</t>
  </si>
  <si>
    <t>Presupuesto del SIG</t>
  </si>
  <si>
    <t>Matriz de Aspectos, Riesgos y Requisitos legales.</t>
  </si>
  <si>
    <t>Programas ambientales.</t>
  </si>
  <si>
    <t>Todos los años.</t>
  </si>
  <si>
    <t>Cada programa tiene los planes con recursos</t>
  </si>
  <si>
    <t>Cada programa tiene los planes con recursos.Contexto Estrategico</t>
  </si>
  <si>
    <t>Verificar las descripciones de cargo.</t>
  </si>
  <si>
    <t>Descripciones de Cargo y Procedimientos</t>
  </si>
  <si>
    <t>Procedimiento de Talento Humano</t>
  </si>
  <si>
    <t>Programa de Capacitación</t>
  </si>
  <si>
    <t>Sensibilización</t>
  </si>
  <si>
    <t>RESPONSABLES</t>
  </si>
  <si>
    <t>Actualizar descripciones de cargo en caso necesario</t>
  </si>
  <si>
    <t>Responsables de Procesos/Angelica Paez</t>
  </si>
  <si>
    <t>Están en cada proceso y tambien tenemos una matriz de comunicaciones</t>
  </si>
  <si>
    <t xml:space="preserve">Verificar lascomunicaciones </t>
  </si>
  <si>
    <t>Actualizar procesos y matriz de comunicaciones en caso necesario</t>
  </si>
  <si>
    <t>Se informa. Falta más frecuencia</t>
  </si>
  <si>
    <t>Cuando se haga necesario</t>
  </si>
  <si>
    <t>Tenemos el Sistema Integrado, con accesos restringidos</t>
  </si>
  <si>
    <t>Listado Maestro de Documentos y Registros</t>
  </si>
  <si>
    <t>Los procesos del SIG</t>
  </si>
  <si>
    <t>Proceso y procedimiento de diseño</t>
  </si>
  <si>
    <t>Incluir ECODISEÑO.</t>
  </si>
  <si>
    <t>Actualizar Proceso, Procedimiento y aplicación</t>
  </si>
  <si>
    <t xml:space="preserve">Daniel </t>
  </si>
  <si>
    <t>Evaluación y Selección de Proveedores</t>
  </si>
  <si>
    <t>Manual de Contratistas</t>
  </si>
  <si>
    <t>Verificar si tiene la parte ambiental</t>
  </si>
  <si>
    <t>Actualizar el Manual en Caso necesario</t>
  </si>
  <si>
    <t xml:space="preserve">Luis </t>
  </si>
  <si>
    <t>Plan de Emergencia</t>
  </si>
  <si>
    <t>Falta simulacro</t>
  </si>
  <si>
    <t>Preparar simulacro ambiental</t>
  </si>
  <si>
    <t>Hacer el simulacro</t>
  </si>
  <si>
    <t>Programas ambientales</t>
  </si>
  <si>
    <t>Indicadores mensuales</t>
  </si>
  <si>
    <t>Se encuentran en cada programa</t>
  </si>
  <si>
    <t>Mensualmente</t>
  </si>
  <si>
    <t>Son externos. Se les pide toda la información necesaria para demostrar cumplimiento.</t>
  </si>
  <si>
    <t>Cronograma de revisión</t>
  </si>
  <si>
    <t>matriz de requisitos legales.</t>
  </si>
  <si>
    <t>Programa de auditorias internas</t>
  </si>
  <si>
    <t>Se hizo auditoria en el mes de septiembre de 2020</t>
  </si>
  <si>
    <t>Plan de auditorias</t>
  </si>
  <si>
    <t>Contratado externamente</t>
  </si>
  <si>
    <t>Informe de auditoria</t>
  </si>
  <si>
    <t>Estan todos los registros</t>
  </si>
  <si>
    <t>Informe RxD</t>
  </si>
  <si>
    <t>Falta la parte ambiental</t>
  </si>
  <si>
    <t>Actualizar o hacer un comité aparte</t>
  </si>
  <si>
    <t>Proceso de mejora y Procedimiento. Cultura de analisis a nivel Operativo</t>
  </si>
  <si>
    <t>Aplicar el proceso y procedimiento</t>
  </si>
  <si>
    <t>Lideres de Procesos</t>
  </si>
  <si>
    <t>Gestion del cambio</t>
  </si>
  <si>
    <t>Verificar parte ambiental. Se esta realizando con el Ing Eudaldo Natera</t>
  </si>
  <si>
    <t>Proceso de auditorias y procedimiento de auditorias</t>
  </si>
  <si>
    <t>5.2 Política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</si>
</sst>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family val="2"/>
      <scheme val="minor"/>
    </font>
    <font>
      <sz val="10"/>
      <color indexed="6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Arial"/>
      <family val="2"/>
    </font>
    <font>
      <sz val="10"/>
      <color theme="1"/>
      <name val="Wingdings"/>
      <charset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rgb="FFC00000"/>
      <name val="Arial"/>
      <family val="2"/>
    </font>
    <font>
      <b/>
      <sz val="11"/>
      <color theme="0"/>
      <name val="Arial"/>
      <family val="2"/>
    </font>
    <font>
      <b/>
      <sz val="16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12"/>
      <color theme="1"/>
      <name val="Times New Roman"/>
      <family val="1"/>
    </font>
    <font>
      <b/>
      <sz val="12"/>
      <color rgb="FFC0000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rgb="FF000000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 new roman"/>
    </font>
    <font>
      <b/>
      <sz val="12"/>
      <color theme="0"/>
      <name val="Time new roman"/>
    </font>
    <font>
      <b/>
      <sz val="12"/>
      <color rgb="FFC00000"/>
      <name val="Time new roman"/>
    </font>
    <font>
      <b/>
      <sz val="12"/>
      <color theme="1"/>
      <name val="Time new roman"/>
    </font>
    <font>
      <b/>
      <sz val="12"/>
      <color rgb="FF000000"/>
      <name val="Time new roman"/>
    </font>
    <font>
      <sz val="12"/>
      <color indexed="8"/>
      <name val="Time new roman"/>
    </font>
    <font>
      <sz val="12"/>
      <color rgb="FF000000"/>
      <name val="Time new roman"/>
    </font>
    <font>
      <b/>
      <sz val="12"/>
      <name val="Time new roman"/>
    </font>
    <font>
      <sz val="12"/>
      <name val="Time new roman"/>
    </font>
    <font>
      <b/>
      <sz val="12"/>
      <color rgb="FFFF0000"/>
      <name val="Time new roman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lightGray">
        <bgColor theme="0" tint="-0.14996795556505021"/>
      </patternFill>
    </fill>
    <fill>
      <patternFill patternType="lightGray">
        <bgColor theme="0" tint="-0.14993743705557422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0"/>
        </stop>
      </gradientFill>
    </fill>
    <fill>
      <patternFill patternType="solid">
        <fgColor rgb="FFC00000"/>
        <bgColor indexed="64"/>
      </patternFill>
    </fill>
    <fill>
      <patternFill patternType="solid">
        <fgColor theme="0" tint="-0.149906918546098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Gray">
        <bgColor theme="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69">
    <xf numFmtId="0" fontId="0" fillId="0" borderId="0" xfId="0"/>
    <xf numFmtId="0" fontId="0" fillId="0" borderId="0" xfId="0" applyAlignment="1">
      <alignment vertical="center"/>
    </xf>
    <xf numFmtId="0" fontId="5" fillId="0" borderId="9" xfId="0" applyFont="1" applyBorder="1" applyAlignment="1">
      <alignment horizontal="justify" vertical="center"/>
    </xf>
    <xf numFmtId="0" fontId="0" fillId="0" borderId="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6" xfId="0" applyBorder="1" applyAlignment="1">
      <alignment vertical="center"/>
    </xf>
    <xf numFmtId="0" fontId="5" fillId="0" borderId="9" xfId="0" applyFont="1" applyBorder="1" applyAlignment="1">
      <alignment horizontal="justify" vertical="center" readingOrder="1"/>
    </xf>
    <xf numFmtId="0" fontId="4" fillId="0" borderId="2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8" fillId="0" borderId="9" xfId="0" applyFont="1" applyBorder="1" applyAlignment="1">
      <alignment horizontal="justify" vertical="center"/>
    </xf>
    <xf numFmtId="0" fontId="8" fillId="0" borderId="19" xfId="0" applyFont="1" applyBorder="1" applyAlignment="1">
      <alignment horizontal="justify" vertical="center"/>
    </xf>
    <xf numFmtId="0" fontId="4" fillId="0" borderId="0" xfId="0" applyFont="1" applyAlignment="1">
      <alignment horizontal="center" vertical="center"/>
    </xf>
    <xf numFmtId="0" fontId="8" fillId="0" borderId="28" xfId="0" applyFont="1" applyBorder="1" applyAlignment="1">
      <alignment horizontal="justify" vertical="center"/>
    </xf>
    <xf numFmtId="0" fontId="10" fillId="0" borderId="9" xfId="0" applyFont="1" applyBorder="1" applyAlignment="1">
      <alignment horizontal="justify" vertical="center"/>
    </xf>
    <xf numFmtId="0" fontId="11" fillId="0" borderId="0" xfId="0" applyFont="1" applyAlignment="1">
      <alignment vertical="center"/>
    </xf>
    <xf numFmtId="0" fontId="5" fillId="0" borderId="29" xfId="0" applyFont="1" applyBorder="1" applyAlignment="1">
      <alignment horizontal="justify" vertical="center"/>
    </xf>
    <xf numFmtId="0" fontId="10" fillId="0" borderId="29" xfId="0" applyFont="1" applyBorder="1" applyAlignment="1">
      <alignment horizontal="justify" vertical="center"/>
    </xf>
    <xf numFmtId="0" fontId="7" fillId="3" borderId="36" xfId="0" applyFont="1" applyFill="1" applyBorder="1" applyAlignment="1">
      <alignment horizontal="center" vertical="center" wrapText="1"/>
    </xf>
    <xf numFmtId="0" fontId="0" fillId="7" borderId="0" xfId="0" applyFill="1" applyAlignment="1">
      <alignment vertical="center"/>
    </xf>
    <xf numFmtId="0" fontId="10" fillId="0" borderId="9" xfId="0" applyFont="1" applyBorder="1" applyAlignment="1">
      <alignment horizontal="justify" vertical="center" readingOrder="1"/>
    </xf>
    <xf numFmtId="0" fontId="8" fillId="0" borderId="28" xfId="0" applyFont="1" applyBorder="1" applyAlignment="1">
      <alignment horizontal="justify" vertical="center" readingOrder="1"/>
    </xf>
    <xf numFmtId="0" fontId="0" fillId="7" borderId="7" xfId="0" applyFill="1" applyBorder="1" applyAlignment="1">
      <alignment vertical="center"/>
    </xf>
    <xf numFmtId="0" fontId="0" fillId="7" borderId="2" xfId="0" applyFill="1" applyBorder="1" applyAlignment="1">
      <alignment vertical="center"/>
    </xf>
    <xf numFmtId="9" fontId="4" fillId="0" borderId="1" xfId="1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13" fillId="9" borderId="43" xfId="0" applyFont="1" applyFill="1" applyBorder="1" applyAlignment="1">
      <alignment horizontal="left" vertical="center" wrapText="1"/>
    </xf>
    <xf numFmtId="0" fontId="13" fillId="9" borderId="42" xfId="0" applyFont="1" applyFill="1" applyBorder="1" applyAlignment="1">
      <alignment horizontal="center" vertical="center" wrapText="1"/>
    </xf>
    <xf numFmtId="0" fontId="3" fillId="9" borderId="47" xfId="0" applyFont="1" applyFill="1" applyBorder="1" applyAlignment="1">
      <alignment horizontal="center" vertical="center" wrapText="1"/>
    </xf>
    <xf numFmtId="0" fontId="3" fillId="9" borderId="48" xfId="0" applyFont="1" applyFill="1" applyBorder="1" applyAlignment="1">
      <alignment horizontal="center" vertical="center" wrapText="1"/>
    </xf>
    <xf numFmtId="0" fontId="3" fillId="9" borderId="49" xfId="0" applyFont="1" applyFill="1" applyBorder="1" applyAlignment="1">
      <alignment horizontal="center" vertical="center" wrapText="1"/>
    </xf>
    <xf numFmtId="0" fontId="3" fillId="9" borderId="50" xfId="0" applyFont="1" applyFill="1" applyBorder="1" applyAlignment="1">
      <alignment horizontal="center" vertical="center" wrapText="1"/>
    </xf>
    <xf numFmtId="0" fontId="15" fillId="9" borderId="42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9" borderId="44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vertical="center"/>
    </xf>
    <xf numFmtId="0" fontId="20" fillId="0" borderId="12" xfId="0" applyFont="1" applyBorder="1" applyAlignment="1">
      <alignment vertical="center"/>
    </xf>
    <xf numFmtId="0" fontId="20" fillId="0" borderId="9" xfId="0" applyFont="1" applyBorder="1" applyAlignment="1">
      <alignment vertical="center" wrapText="1"/>
    </xf>
    <xf numFmtId="0" fontId="18" fillId="0" borderId="0" xfId="0" applyFont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5" xfId="0" applyFont="1" applyBorder="1" applyAlignme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 wrapText="1"/>
    </xf>
    <xf numFmtId="0" fontId="21" fillId="9" borderId="15" xfId="0" applyFont="1" applyFill="1" applyBorder="1" applyAlignment="1">
      <alignment horizontal="center" vertical="center" wrapText="1"/>
    </xf>
    <xf numFmtId="0" fontId="21" fillId="9" borderId="16" xfId="0" applyFont="1" applyFill="1" applyBorder="1" applyAlignment="1">
      <alignment horizontal="center" vertical="center" wrapText="1"/>
    </xf>
    <xf numFmtId="0" fontId="21" fillId="9" borderId="4" xfId="0" applyFont="1" applyFill="1" applyBorder="1" applyAlignment="1">
      <alignment horizontal="center" vertical="center" wrapText="1"/>
    </xf>
    <xf numFmtId="0" fontId="21" fillId="9" borderId="5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justify" vertical="center"/>
    </xf>
    <xf numFmtId="0" fontId="20" fillId="0" borderId="9" xfId="0" applyFont="1" applyBorder="1" applyAlignment="1">
      <alignment horizontal="justify" vertical="center" wrapText="1"/>
    </xf>
    <xf numFmtId="0" fontId="20" fillId="0" borderId="7" xfId="0" applyFont="1" applyBorder="1" applyAlignment="1">
      <alignment vertical="center" wrapText="1"/>
    </xf>
    <xf numFmtId="0" fontId="20" fillId="0" borderId="9" xfId="0" applyFont="1" applyBorder="1" applyAlignment="1">
      <alignment horizontal="justify" vertical="center"/>
    </xf>
    <xf numFmtId="0" fontId="18" fillId="0" borderId="0" xfId="0" applyFont="1" applyAlignment="1">
      <alignment vertical="center" wrapText="1"/>
    </xf>
    <xf numFmtId="0" fontId="20" fillId="0" borderId="39" xfId="0" applyFont="1" applyBorder="1" applyAlignment="1">
      <alignment horizontal="justify" vertical="center"/>
    </xf>
    <xf numFmtId="0" fontId="20" fillId="0" borderId="22" xfId="0" applyFont="1" applyBorder="1" applyAlignment="1">
      <alignment vertical="center"/>
    </xf>
    <xf numFmtId="0" fontId="20" fillId="0" borderId="39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21" fillId="9" borderId="49" xfId="0" applyFont="1" applyFill="1" applyBorder="1" applyAlignment="1">
      <alignment horizontal="center" vertical="center" wrapText="1"/>
    </xf>
    <xf numFmtId="0" fontId="21" fillId="9" borderId="5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vertical="center" wrapText="1"/>
    </xf>
    <xf numFmtId="0" fontId="18" fillId="12" borderId="29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vertical="center" wrapText="1"/>
    </xf>
    <xf numFmtId="0" fontId="19" fillId="0" borderId="42" xfId="0" applyFont="1" applyBorder="1" applyAlignment="1">
      <alignment horizontal="justify" vertical="center" wrapText="1" readingOrder="1"/>
    </xf>
    <xf numFmtId="0" fontId="18" fillId="12" borderId="15" xfId="0" applyFont="1" applyFill="1" applyBorder="1" applyAlignment="1">
      <alignment horizontal="center" vertical="center" wrapText="1"/>
    </xf>
    <xf numFmtId="0" fontId="18" fillId="12" borderId="26" xfId="0" applyFont="1" applyFill="1" applyBorder="1" applyAlignment="1">
      <alignment horizontal="center" vertical="center" wrapText="1"/>
    </xf>
    <xf numFmtId="0" fontId="18" fillId="12" borderId="43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justify" vertical="center" wrapText="1" readingOrder="1"/>
    </xf>
    <xf numFmtId="0" fontId="24" fillId="0" borderId="29" xfId="0" applyFont="1" applyBorder="1" applyAlignment="1">
      <alignment horizontal="justify" vertical="center" wrapText="1" readingOrder="1"/>
    </xf>
    <xf numFmtId="0" fontId="22" fillId="0" borderId="29" xfId="0" applyFont="1" applyBorder="1" applyAlignment="1">
      <alignment horizontal="justify" readingOrder="1"/>
    </xf>
    <xf numFmtId="0" fontId="22" fillId="0" borderId="60" xfId="0" applyFont="1" applyBorder="1" applyAlignment="1">
      <alignment horizontal="justify" readingOrder="1"/>
    </xf>
    <xf numFmtId="0" fontId="18" fillId="12" borderId="28" xfId="0" applyFont="1" applyFill="1" applyBorder="1" applyAlignment="1">
      <alignment vertical="center" wrapText="1"/>
    </xf>
    <xf numFmtId="0" fontId="20" fillId="0" borderId="13" xfId="0" applyFont="1" applyBorder="1" applyAlignment="1">
      <alignment horizontal="justify" vertical="center"/>
    </xf>
    <xf numFmtId="0" fontId="20" fillId="0" borderId="14" xfId="0" applyFont="1" applyBorder="1" applyAlignment="1">
      <alignment horizontal="left" vertical="center" readingOrder="1"/>
    </xf>
    <xf numFmtId="0" fontId="20" fillId="0" borderId="0" xfId="0" applyFont="1" applyAlignment="1">
      <alignment horizontal="left" vertical="center"/>
    </xf>
    <xf numFmtId="0" fontId="0" fillId="0" borderId="39" xfId="0" applyBorder="1" applyAlignment="1">
      <alignment wrapText="1"/>
    </xf>
    <xf numFmtId="0" fontId="26" fillId="9" borderId="28" xfId="0" applyFont="1" applyFill="1" applyBorder="1" applyAlignment="1">
      <alignment horizontal="center" vertical="center" wrapText="1"/>
    </xf>
    <xf numFmtId="0" fontId="31" fillId="0" borderId="9" xfId="0" applyFont="1" applyBorder="1" applyAlignment="1">
      <alignment horizontal="justify" vertical="center" wrapText="1"/>
    </xf>
    <xf numFmtId="0" fontId="25" fillId="0" borderId="9" xfId="0" applyFont="1" applyBorder="1" applyAlignment="1">
      <alignment vertical="center" wrapText="1"/>
    </xf>
    <xf numFmtId="0" fontId="29" fillId="0" borderId="9" xfId="0" applyFont="1" applyBorder="1" applyAlignment="1">
      <alignment horizontal="justify" vertical="center"/>
    </xf>
    <xf numFmtId="0" fontId="33" fillId="0" borderId="19" xfId="0" applyFont="1" applyBorder="1" applyAlignment="1">
      <alignment horizontal="justify" vertical="center"/>
    </xf>
    <xf numFmtId="0" fontId="31" fillId="0" borderId="9" xfId="0" applyFont="1" applyBorder="1" applyAlignment="1">
      <alignment horizontal="justify" vertical="center"/>
    </xf>
    <xf numFmtId="0" fontId="25" fillId="0" borderId="9" xfId="0" applyFont="1" applyBorder="1" applyAlignment="1">
      <alignment horizontal="justify" vertical="center"/>
    </xf>
    <xf numFmtId="0" fontId="28" fillId="0" borderId="9" xfId="0" applyFont="1" applyBorder="1" applyAlignment="1">
      <alignment horizontal="justify" vertical="center"/>
    </xf>
    <xf numFmtId="0" fontId="25" fillId="0" borderId="9" xfId="0" applyFont="1" applyBorder="1" applyAlignment="1">
      <alignment wrapText="1"/>
    </xf>
    <xf numFmtId="0" fontId="25" fillId="0" borderId="9" xfId="0" applyFont="1" applyBorder="1" applyAlignment="1">
      <alignment horizontal="justify" vertical="center" wrapText="1"/>
    </xf>
    <xf numFmtId="0" fontId="25" fillId="0" borderId="13" xfId="0" applyFont="1" applyBorder="1" applyAlignment="1">
      <alignment wrapText="1"/>
    </xf>
    <xf numFmtId="0" fontId="31" fillId="0" borderId="28" xfId="0" applyFont="1" applyBorder="1" applyAlignment="1">
      <alignment horizontal="justify" vertical="center" wrapText="1"/>
    </xf>
    <xf numFmtId="0" fontId="25" fillId="0" borderId="13" xfId="0" applyFont="1" applyBorder="1" applyAlignment="1">
      <alignment vertical="center" wrapText="1"/>
    </xf>
    <xf numFmtId="0" fontId="19" fillId="2" borderId="42" xfId="0" applyFont="1" applyFill="1" applyBorder="1" applyAlignment="1">
      <alignment vertical="center" wrapText="1"/>
    </xf>
    <xf numFmtId="0" fontId="25" fillId="0" borderId="19" xfId="0" applyFont="1" applyBorder="1" applyAlignment="1">
      <alignment wrapText="1"/>
    </xf>
    <xf numFmtId="0" fontId="27" fillId="0" borderId="37" xfId="0" applyFont="1" applyBorder="1" applyAlignment="1">
      <alignment horizontal="left" vertical="center" wrapText="1"/>
    </xf>
    <xf numFmtId="0" fontId="18" fillId="12" borderId="58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vertical="center" wrapText="1"/>
    </xf>
    <xf numFmtId="0" fontId="20" fillId="0" borderId="43" xfId="0" applyFont="1" applyBorder="1" applyAlignment="1">
      <alignment vertical="center" wrapText="1"/>
    </xf>
    <xf numFmtId="0" fontId="20" fillId="0" borderId="36" xfId="0" applyFont="1" applyBorder="1" applyAlignment="1">
      <alignment vertical="center" wrapText="1"/>
    </xf>
    <xf numFmtId="0" fontId="20" fillId="0" borderId="54" xfId="0" applyFont="1" applyBorder="1" applyAlignment="1">
      <alignment vertical="center" wrapText="1"/>
    </xf>
    <xf numFmtId="0" fontId="20" fillId="0" borderId="37" xfId="0" applyFont="1" applyBorder="1" applyAlignment="1">
      <alignment vertical="center" wrapText="1"/>
    </xf>
    <xf numFmtId="0" fontId="20" fillId="0" borderId="58" xfId="0" applyFont="1" applyBorder="1" applyAlignment="1">
      <alignment vertical="center" wrapText="1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vertical="center"/>
    </xf>
    <xf numFmtId="0" fontId="10" fillId="0" borderId="15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justify" vertical="center"/>
    </xf>
    <xf numFmtId="0" fontId="8" fillId="0" borderId="15" xfId="0" applyFont="1" applyBorder="1" applyAlignment="1">
      <alignment horizontal="justify" vertical="center"/>
    </xf>
    <xf numFmtId="0" fontId="5" fillId="0" borderId="9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 wrapText="1"/>
    </xf>
    <xf numFmtId="0" fontId="19" fillId="0" borderId="15" xfId="0" applyFont="1" applyBorder="1" applyAlignment="1">
      <alignment vertical="center" wrapText="1"/>
    </xf>
    <xf numFmtId="0" fontId="35" fillId="0" borderId="28" xfId="0" applyFont="1" applyBorder="1" applyAlignment="1">
      <alignment horizontal="center" vertical="center" readingOrder="1"/>
    </xf>
    <xf numFmtId="9" fontId="20" fillId="0" borderId="15" xfId="0" applyNumberFormat="1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 wrapText="1"/>
    </xf>
    <xf numFmtId="9" fontId="20" fillId="0" borderId="13" xfId="0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35" fillId="0" borderId="42" xfId="0" applyFont="1" applyBorder="1" applyAlignment="1">
      <alignment horizontal="center" vertical="center" wrapText="1"/>
    </xf>
    <xf numFmtId="0" fontId="35" fillId="0" borderId="42" xfId="0" applyFont="1" applyBorder="1" applyAlignment="1">
      <alignment horizontal="center" vertical="center" wrapText="1" readingOrder="1"/>
    </xf>
    <xf numFmtId="0" fontId="35" fillId="0" borderId="15" xfId="0" applyFont="1" applyBorder="1" applyAlignment="1">
      <alignment horizontal="center" vertical="center" wrapText="1" readingOrder="1"/>
    </xf>
    <xf numFmtId="0" fontId="35" fillId="0" borderId="15" xfId="0" applyFont="1" applyBorder="1" applyAlignment="1">
      <alignment horizontal="center" vertical="center"/>
    </xf>
    <xf numFmtId="0" fontId="29" fillId="0" borderId="15" xfId="0" applyFont="1" applyBorder="1" applyAlignment="1">
      <alignment horizontal="left" vertical="center" wrapText="1"/>
    </xf>
    <xf numFmtId="0" fontId="18" fillId="12" borderId="33" xfId="0" applyFont="1" applyFill="1" applyBorder="1" applyAlignment="1">
      <alignment horizontal="center" vertical="center" wrapText="1"/>
    </xf>
    <xf numFmtId="0" fontId="19" fillId="2" borderId="38" xfId="0" applyFont="1" applyFill="1" applyBorder="1" applyAlignment="1">
      <alignment vertical="center" wrapText="1"/>
    </xf>
    <xf numFmtId="0" fontId="32" fillId="0" borderId="43" xfId="0" applyFont="1" applyBorder="1" applyAlignment="1">
      <alignment vertical="center" wrapText="1"/>
    </xf>
    <xf numFmtId="0" fontId="32" fillId="0" borderId="15" xfId="0" applyFont="1" applyBorder="1" applyAlignment="1">
      <alignment horizontal="left" vertical="center" wrapText="1"/>
    </xf>
    <xf numFmtId="0" fontId="19" fillId="2" borderId="15" xfId="0" applyFont="1" applyFill="1" applyBorder="1" applyAlignment="1">
      <alignment vertical="center" wrapText="1"/>
    </xf>
    <xf numFmtId="0" fontId="31" fillId="0" borderId="14" xfId="0" applyFont="1" applyBorder="1" applyAlignment="1">
      <alignment horizontal="justify" vertical="center" wrapText="1"/>
    </xf>
    <xf numFmtId="0" fontId="34" fillId="0" borderId="19" xfId="0" applyFont="1" applyBorder="1" applyAlignment="1">
      <alignment horizontal="justify" vertical="center"/>
    </xf>
    <xf numFmtId="0" fontId="19" fillId="2" borderId="52" xfId="0" applyFont="1" applyFill="1" applyBorder="1" applyAlignment="1">
      <alignment vertical="center" wrapText="1"/>
    </xf>
    <xf numFmtId="0" fontId="0" fillId="0" borderId="0" xfId="0" applyAlignment="1">
      <alignment horizontal="center" wrapText="1"/>
    </xf>
    <xf numFmtId="9" fontId="20" fillId="0" borderId="33" xfId="0" applyNumberFormat="1" applyFont="1" applyBorder="1" applyAlignment="1">
      <alignment horizontal="center" vertical="center"/>
    </xf>
    <xf numFmtId="0" fontId="37" fillId="0" borderId="42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7" fillId="0" borderId="33" xfId="0" applyFont="1" applyBorder="1" applyAlignment="1">
      <alignment horizontal="center" vertical="center" wrapText="1" readingOrder="1"/>
    </xf>
    <xf numFmtId="0" fontId="37" fillId="0" borderId="15" xfId="0" applyFont="1" applyBorder="1" applyAlignment="1">
      <alignment horizontal="center" vertical="center"/>
    </xf>
    <xf numFmtId="0" fontId="20" fillId="0" borderId="23" xfId="0" applyFont="1" applyBorder="1" applyAlignment="1">
      <alignment vertical="center"/>
    </xf>
    <xf numFmtId="0" fontId="0" fillId="0" borderId="56" xfId="0" applyBorder="1" applyAlignment="1">
      <alignment vertical="center" wrapText="1"/>
    </xf>
    <xf numFmtId="0" fontId="18" fillId="0" borderId="15" xfId="0" applyFont="1" applyBorder="1" applyAlignment="1">
      <alignment vertical="center" wrapText="1"/>
    </xf>
    <xf numFmtId="0" fontId="18" fillId="12" borderId="30" xfId="0" applyFont="1" applyFill="1" applyBorder="1" applyAlignment="1">
      <alignment horizontal="center" vertical="center" wrapText="1"/>
    </xf>
    <xf numFmtId="0" fontId="18" fillId="12" borderId="59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vertical="center" wrapText="1"/>
    </xf>
    <xf numFmtId="0" fontId="20" fillId="0" borderId="29" xfId="0" applyFont="1" applyBorder="1" applyAlignment="1">
      <alignment horizontal="justify" vertical="center" wrapText="1"/>
    </xf>
    <xf numFmtId="0" fontId="19" fillId="0" borderId="43" xfId="0" applyFont="1" applyBorder="1" applyAlignment="1">
      <alignment vertical="center" wrapText="1"/>
    </xf>
    <xf numFmtId="0" fontId="0" fillId="0" borderId="1" xfId="0" applyBorder="1"/>
    <xf numFmtId="0" fontId="0" fillId="0" borderId="7" xfId="0" applyBorder="1"/>
    <xf numFmtId="0" fontId="20" fillId="0" borderId="64" xfId="0" applyFont="1" applyBorder="1" applyAlignment="1">
      <alignment horizontal="justify" vertical="center"/>
    </xf>
    <xf numFmtId="0" fontId="24" fillId="0" borderId="15" xfId="0" applyFont="1" applyBorder="1" applyAlignment="1">
      <alignment horizontal="justify" vertical="center"/>
    </xf>
    <xf numFmtId="0" fontId="18" fillId="15" borderId="58" xfId="0" applyFont="1" applyFill="1" applyBorder="1" applyAlignment="1">
      <alignment vertical="center" wrapText="1"/>
    </xf>
    <xf numFmtId="0" fontId="18" fillId="15" borderId="43" xfId="0" applyFont="1" applyFill="1" applyBorder="1" applyAlignment="1">
      <alignment horizontal="left" vertical="center" wrapText="1"/>
    </xf>
    <xf numFmtId="0" fontId="18" fillId="15" borderId="43" xfId="0" applyFont="1" applyFill="1" applyBorder="1" applyAlignment="1">
      <alignment vertical="center" wrapText="1"/>
    </xf>
    <xf numFmtId="0" fontId="18" fillId="15" borderId="61" xfId="0" applyFont="1" applyFill="1" applyBorder="1" applyAlignment="1">
      <alignment vertical="center" wrapText="1"/>
    </xf>
    <xf numFmtId="0" fontId="37" fillId="0" borderId="15" xfId="0" applyFont="1" applyBorder="1" applyAlignment="1">
      <alignment horizontal="justify" vertical="center" readingOrder="1"/>
    </xf>
    <xf numFmtId="0" fontId="37" fillId="0" borderId="15" xfId="0" applyFont="1" applyBorder="1" applyAlignment="1">
      <alignment vertical="center" wrapText="1"/>
    </xf>
    <xf numFmtId="0" fontId="37" fillId="11" borderId="15" xfId="0" applyFont="1" applyFill="1" applyBorder="1" applyAlignment="1">
      <alignment vertical="center" wrapText="1"/>
    </xf>
    <xf numFmtId="0" fontId="36" fillId="0" borderId="15" xfId="0" applyFont="1" applyBorder="1" applyAlignment="1">
      <alignment vertical="center" wrapText="1"/>
    </xf>
    <xf numFmtId="0" fontId="36" fillId="0" borderId="15" xfId="0" applyFont="1" applyBorder="1" applyAlignment="1">
      <alignment horizontal="justify" vertical="center" readingOrder="1"/>
    </xf>
    <xf numFmtId="0" fontId="5" fillId="0" borderId="29" xfId="0" applyFont="1" applyBorder="1" applyAlignment="1">
      <alignment horizontal="justify" vertical="center" wrapText="1"/>
    </xf>
    <xf numFmtId="0" fontId="5" fillId="0" borderId="0" xfId="0" applyFont="1" applyAlignment="1">
      <alignment horizontal="justify" vertical="center"/>
    </xf>
    <xf numFmtId="0" fontId="0" fillId="0" borderId="36" xfId="0" applyBorder="1" applyAlignment="1">
      <alignment vertical="center"/>
    </xf>
    <xf numFmtId="0" fontId="14" fillId="9" borderId="43" xfId="0" applyFont="1" applyFill="1" applyBorder="1" applyAlignment="1">
      <alignment horizontal="center" vertical="center" wrapText="1"/>
    </xf>
    <xf numFmtId="0" fontId="8" fillId="0" borderId="43" xfId="0" applyFont="1" applyBorder="1" applyAlignment="1">
      <alignment horizontal="justify" vertical="center"/>
    </xf>
    <xf numFmtId="0" fontId="7" fillId="3" borderId="43" xfId="0" applyFont="1" applyFill="1" applyBorder="1" applyAlignment="1">
      <alignment vertical="center" wrapText="1"/>
    </xf>
    <xf numFmtId="0" fontId="5" fillId="0" borderId="28" xfId="0" applyFont="1" applyBorder="1" applyAlignment="1">
      <alignment horizontal="justify" vertical="center" wrapText="1"/>
    </xf>
    <xf numFmtId="0" fontId="5" fillId="0" borderId="13" xfId="0" applyFont="1" applyBorder="1" applyAlignment="1">
      <alignment horizontal="justify" vertical="center"/>
    </xf>
    <xf numFmtId="0" fontId="5" fillId="0" borderId="60" xfId="0" applyFont="1" applyBorder="1" applyAlignment="1">
      <alignment horizontal="justify" vertical="center" wrapText="1"/>
    </xf>
    <xf numFmtId="0" fontId="10" fillId="0" borderId="64" xfId="0" applyFont="1" applyBorder="1" applyAlignment="1">
      <alignment horizontal="justify" vertical="center"/>
    </xf>
    <xf numFmtId="0" fontId="12" fillId="0" borderId="43" xfId="0" applyFont="1" applyBorder="1" applyAlignment="1">
      <alignment vertical="center"/>
    </xf>
    <xf numFmtId="0" fontId="7" fillId="3" borderId="15" xfId="0" applyFont="1" applyFill="1" applyBorder="1" applyAlignment="1">
      <alignment horizontal="center" vertical="center" wrapText="1"/>
    </xf>
    <xf numFmtId="0" fontId="3" fillId="9" borderId="15" xfId="0" applyFont="1" applyFill="1" applyBorder="1" applyAlignment="1">
      <alignment horizontal="center" vertical="center" wrapText="1"/>
    </xf>
    <xf numFmtId="0" fontId="38" fillId="11" borderId="15" xfId="0" applyFont="1" applyFill="1" applyBorder="1" applyAlignment="1">
      <alignment horizontal="center" vertical="center"/>
    </xf>
    <xf numFmtId="0" fontId="39" fillId="8" borderId="15" xfId="0" applyFont="1" applyFill="1" applyBorder="1" applyAlignment="1">
      <alignment horizontal="center" vertical="center" wrapText="1"/>
    </xf>
    <xf numFmtId="0" fontId="39" fillId="0" borderId="33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8" fillId="0" borderId="33" xfId="0" applyFont="1" applyBorder="1" applyAlignment="1">
      <alignment horizontal="justify" vertical="center"/>
    </xf>
    <xf numFmtId="0" fontId="8" fillId="0" borderId="14" xfId="0" applyFont="1" applyBorder="1" applyAlignment="1">
      <alignment horizontal="justify" vertical="center"/>
    </xf>
    <xf numFmtId="0" fontId="10" fillId="0" borderId="28" xfId="0" applyFont="1" applyBorder="1" applyAlignment="1">
      <alignment horizontal="justify" vertical="center"/>
    </xf>
    <xf numFmtId="0" fontId="10" fillId="0" borderId="13" xfId="0" applyFont="1" applyBorder="1" applyAlignment="1">
      <alignment horizontal="justify" vertical="center"/>
    </xf>
    <xf numFmtId="0" fontId="4" fillId="0" borderId="32" xfId="0" applyFont="1" applyBorder="1" applyAlignment="1">
      <alignment horizontal="center" vertical="center"/>
    </xf>
    <xf numFmtId="0" fontId="10" fillId="0" borderId="32" xfId="0" applyFont="1" applyBorder="1" applyAlignment="1">
      <alignment horizontal="justify" vertical="center"/>
    </xf>
    <xf numFmtId="0" fontId="0" fillId="8" borderId="0" xfId="0" applyFill="1" applyAlignment="1">
      <alignment vertical="center"/>
    </xf>
    <xf numFmtId="0" fontId="4" fillId="8" borderId="15" xfId="0" applyFont="1" applyFill="1" applyBorder="1" applyAlignment="1">
      <alignment vertical="center"/>
    </xf>
    <xf numFmtId="9" fontId="0" fillId="8" borderId="26" xfId="0" applyNumberFormat="1" applyFill="1" applyBorder="1" applyAlignment="1">
      <alignment horizontal="center" vertical="center"/>
    </xf>
    <xf numFmtId="9" fontId="0" fillId="8" borderId="15" xfId="0" applyNumberFormat="1" applyFill="1" applyBorder="1" applyAlignment="1">
      <alignment horizontal="center" vertical="center"/>
    </xf>
    <xf numFmtId="0" fontId="38" fillId="8" borderId="15" xfId="0" applyFont="1" applyFill="1" applyBorder="1" applyAlignment="1">
      <alignment vertical="center"/>
    </xf>
    <xf numFmtId="0" fontId="5" fillId="0" borderId="14" xfId="0" applyFont="1" applyBorder="1" applyAlignment="1">
      <alignment horizontal="justify" vertical="center" readingOrder="1"/>
    </xf>
    <xf numFmtId="0" fontId="8" fillId="0" borderId="32" xfId="0" applyFont="1" applyBorder="1" applyAlignment="1">
      <alignment horizontal="left" vertical="center" readingOrder="1"/>
    </xf>
    <xf numFmtId="0" fontId="4" fillId="7" borderId="21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justify" vertical="center" readingOrder="1"/>
    </xf>
    <xf numFmtId="0" fontId="7" fillId="2" borderId="15" xfId="0" applyFont="1" applyFill="1" applyBorder="1" applyAlignment="1">
      <alignment horizontal="center" vertical="center" wrapText="1"/>
    </xf>
    <xf numFmtId="0" fontId="10" fillId="0" borderId="9" xfId="0" applyFont="1" applyBorder="1" applyAlignment="1">
      <alignment horizontal="justify" vertical="center" wrapText="1" readingOrder="1"/>
    </xf>
    <xf numFmtId="0" fontId="10" fillId="0" borderId="14" xfId="0" applyFont="1" applyBorder="1" applyAlignment="1">
      <alignment horizontal="left" vertical="center" wrapText="1" readingOrder="1"/>
    </xf>
    <xf numFmtId="9" fontId="0" fillId="0" borderId="55" xfId="0" applyNumberFormat="1" applyBorder="1" applyAlignment="1">
      <alignment horizontal="center" vertical="center" wrapText="1"/>
    </xf>
    <xf numFmtId="9" fontId="0" fillId="0" borderId="25" xfId="0" applyNumberFormat="1" applyBorder="1" applyAlignment="1">
      <alignment horizontal="center" vertical="center" wrapText="1"/>
    </xf>
    <xf numFmtId="9" fontId="0" fillId="0" borderId="59" xfId="0" applyNumberFormat="1" applyBorder="1" applyAlignment="1">
      <alignment horizontal="center" vertical="center" wrapText="1"/>
    </xf>
    <xf numFmtId="0" fontId="38" fillId="0" borderId="15" xfId="0" applyFont="1" applyBorder="1" applyAlignment="1">
      <alignment horizontal="center" vertical="center" wrapText="1"/>
    </xf>
    <xf numFmtId="9" fontId="0" fillId="0" borderId="15" xfId="0" applyNumberFormat="1" applyBorder="1" applyAlignment="1">
      <alignment horizontal="center" vertical="center" wrapText="1"/>
    </xf>
    <xf numFmtId="0" fontId="41" fillId="11" borderId="33" xfId="0" applyFont="1" applyFill="1" applyBorder="1" applyAlignment="1">
      <alignment horizontal="center" vertical="center" wrapText="1"/>
    </xf>
    <xf numFmtId="0" fontId="39" fillId="0" borderId="28" xfId="0" applyFont="1" applyBorder="1" applyAlignment="1">
      <alignment horizontal="center" vertical="center" wrapText="1" readingOrder="1"/>
    </xf>
    <xf numFmtId="9" fontId="4" fillId="0" borderId="40" xfId="1" applyFont="1" applyBorder="1" applyAlignment="1">
      <alignment horizontal="center"/>
    </xf>
    <xf numFmtId="0" fontId="4" fillId="0" borderId="15" xfId="0" applyFont="1" applyBorder="1" applyAlignment="1">
      <alignment horizontal="center" vertical="center" wrapText="1"/>
    </xf>
    <xf numFmtId="0" fontId="4" fillId="0" borderId="15" xfId="0" applyFont="1" applyBorder="1"/>
    <xf numFmtId="0" fontId="18" fillId="0" borderId="28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vertical="center" wrapText="1"/>
      <protection locked="0"/>
    </xf>
    <xf numFmtId="0" fontId="18" fillId="0" borderId="17" xfId="0" applyFont="1" applyBorder="1" applyAlignment="1" applyProtection="1">
      <alignment horizontal="center" vertical="center" wrapText="1"/>
      <protection locked="0"/>
    </xf>
    <xf numFmtId="0" fontId="18" fillId="0" borderId="40" xfId="0" applyFont="1" applyBorder="1" applyAlignment="1" applyProtection="1">
      <alignment horizontal="center" vertical="center" wrapText="1"/>
      <protection locked="0"/>
    </xf>
    <xf numFmtId="0" fontId="18" fillId="0" borderId="18" xfId="0" applyFont="1" applyBorder="1" applyAlignment="1" applyProtection="1">
      <alignment horizontal="center" vertical="center" wrapText="1"/>
      <protection locked="0"/>
    </xf>
    <xf numFmtId="0" fontId="20" fillId="0" borderId="17" xfId="0" applyFont="1" applyBorder="1" applyAlignment="1" applyProtection="1">
      <alignment vertical="center" wrapText="1"/>
      <protection locked="0"/>
    </xf>
    <xf numFmtId="0" fontId="18" fillId="0" borderId="7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8" fillId="0" borderId="2" xfId="0" applyFont="1" applyBorder="1" applyAlignment="1" applyProtection="1">
      <alignment horizontal="center" vertical="center" wrapText="1"/>
      <protection locked="0"/>
    </xf>
    <xf numFmtId="0" fontId="20" fillId="0" borderId="7" xfId="0" applyFont="1" applyBorder="1" applyAlignment="1" applyProtection="1">
      <alignment vertical="center" wrapText="1"/>
      <protection locked="0"/>
    </xf>
    <xf numFmtId="0" fontId="20" fillId="0" borderId="2" xfId="0" applyFont="1" applyBorder="1" applyAlignment="1" applyProtection="1">
      <alignment vertical="center" wrapText="1"/>
      <protection locked="0"/>
    </xf>
    <xf numFmtId="0" fontId="20" fillId="0" borderId="10" xfId="0" applyFont="1" applyBorder="1" applyAlignment="1" applyProtection="1">
      <alignment vertical="center" wrapText="1"/>
      <protection locked="0"/>
    </xf>
    <xf numFmtId="0" fontId="20" fillId="0" borderId="12" xfId="0" applyFont="1" applyBorder="1" applyAlignment="1" applyProtection="1">
      <alignment vertical="center" wrapText="1"/>
      <protection locked="0"/>
    </xf>
    <xf numFmtId="0" fontId="18" fillId="0" borderId="8" xfId="0" applyFont="1" applyBorder="1" applyAlignment="1" applyProtection="1">
      <alignment horizontal="center" vertical="center" wrapText="1"/>
      <protection locked="0"/>
    </xf>
    <xf numFmtId="0" fontId="18" fillId="0" borderId="6" xfId="0" applyFont="1" applyBorder="1" applyAlignment="1" applyProtection="1">
      <alignment horizontal="center" vertical="center" wrapText="1"/>
      <protection locked="0"/>
    </xf>
    <xf numFmtId="0" fontId="18" fillId="0" borderId="3" xfId="0" applyFont="1" applyBorder="1" applyAlignment="1" applyProtection="1">
      <alignment horizontal="center" vertical="center" wrapText="1"/>
      <protection locked="0"/>
    </xf>
    <xf numFmtId="0" fontId="20" fillId="0" borderId="8" xfId="0" applyFont="1" applyBorder="1" applyAlignment="1" applyProtection="1">
      <alignment vertical="center" wrapText="1"/>
      <protection locked="0"/>
    </xf>
    <xf numFmtId="0" fontId="18" fillId="0" borderId="19" xfId="0" applyFont="1" applyBorder="1" applyAlignment="1" applyProtection="1">
      <alignment horizontal="center" vertical="center"/>
      <protection locked="0"/>
    </xf>
    <xf numFmtId="0" fontId="18" fillId="0" borderId="9" xfId="0" applyFont="1" applyBorder="1" applyAlignment="1" applyProtection="1">
      <alignment horizontal="center" vertical="center"/>
      <protection locked="0"/>
    </xf>
    <xf numFmtId="0" fontId="18" fillId="0" borderId="57" xfId="0" applyFont="1" applyBorder="1" applyAlignment="1" applyProtection="1">
      <alignment horizontal="center" vertical="center" wrapText="1"/>
      <protection locked="0"/>
    </xf>
    <xf numFmtId="0" fontId="18" fillId="0" borderId="54" xfId="0" applyFont="1" applyBorder="1" applyAlignment="1" applyProtection="1">
      <alignment horizontal="center" vertical="center"/>
      <protection locked="0"/>
    </xf>
    <xf numFmtId="0" fontId="18" fillId="0" borderId="40" xfId="0" applyFont="1" applyBorder="1" applyAlignment="1" applyProtection="1">
      <alignment horizontal="center" vertical="center"/>
      <protection locked="0"/>
    </xf>
    <xf numFmtId="0" fontId="20" fillId="0" borderId="63" xfId="0" applyFont="1" applyBorder="1" applyAlignment="1" applyProtection="1">
      <alignment vertical="center"/>
      <protection locked="0"/>
    </xf>
    <xf numFmtId="0" fontId="20" fillId="0" borderId="45" xfId="0" applyFont="1" applyBorder="1" applyAlignment="1" applyProtection="1">
      <alignment vertical="center"/>
      <protection locked="0"/>
    </xf>
    <xf numFmtId="0" fontId="18" fillId="0" borderId="29" xfId="0" applyFont="1" applyBorder="1" applyAlignment="1" applyProtection="1">
      <alignment horizontal="center" vertical="center"/>
      <protection locked="0"/>
    </xf>
    <xf numFmtId="0" fontId="18" fillId="0" borderId="1" xfId="0" applyFont="1" applyBorder="1" applyAlignment="1" applyProtection="1">
      <alignment horizontal="center" vertical="center"/>
      <protection locked="0"/>
    </xf>
    <xf numFmtId="0" fontId="20" fillId="0" borderId="7" xfId="0" applyFont="1" applyBorder="1" applyAlignment="1" applyProtection="1">
      <alignment vertical="center"/>
      <protection locked="0"/>
    </xf>
    <xf numFmtId="0" fontId="20" fillId="0" borderId="2" xfId="0" applyFont="1" applyBorder="1" applyAlignment="1" applyProtection="1">
      <alignment vertical="center"/>
      <protection locked="0"/>
    </xf>
    <xf numFmtId="0" fontId="20" fillId="0" borderId="12" xfId="0" applyFont="1" applyBorder="1" applyAlignment="1" applyProtection="1">
      <alignment vertical="center"/>
      <protection locked="0"/>
    </xf>
    <xf numFmtId="0" fontId="20" fillId="0" borderId="25" xfId="0" applyFont="1" applyBorder="1" applyAlignment="1" applyProtection="1">
      <alignment vertical="center"/>
      <protection locked="0"/>
    </xf>
    <xf numFmtId="0" fontId="20" fillId="0" borderId="18" xfId="0" applyFont="1" applyBorder="1" applyAlignment="1" applyProtection="1">
      <alignment vertical="center"/>
      <protection locked="0"/>
    </xf>
    <xf numFmtId="0" fontId="18" fillId="0" borderId="60" xfId="0" applyFont="1" applyBorder="1" applyAlignment="1" applyProtection="1">
      <alignment horizontal="center" vertical="center"/>
      <protection locked="0"/>
    </xf>
    <xf numFmtId="0" fontId="18" fillId="0" borderId="11" xfId="0" applyFont="1" applyBorder="1" applyAlignment="1" applyProtection="1">
      <alignment horizontal="center" vertical="center"/>
      <protection locked="0"/>
    </xf>
    <xf numFmtId="0" fontId="20" fillId="0" borderId="8" xfId="0" applyFont="1" applyBorder="1" applyAlignment="1" applyProtection="1">
      <alignment vertical="center"/>
      <protection locked="0"/>
    </xf>
    <xf numFmtId="0" fontId="20" fillId="0" borderId="3" xfId="0" applyFont="1" applyBorder="1" applyAlignment="1" applyProtection="1">
      <alignment vertical="center"/>
      <protection locked="0"/>
    </xf>
    <xf numFmtId="0" fontId="18" fillId="0" borderId="17" xfId="0" applyFont="1" applyBorder="1" applyAlignment="1" applyProtection="1">
      <alignment horizontal="center" vertical="center"/>
      <protection locked="0"/>
    </xf>
    <xf numFmtId="0" fontId="18" fillId="0" borderId="56" xfId="0" applyFont="1" applyBorder="1" applyAlignment="1" applyProtection="1">
      <alignment horizontal="center" vertical="center"/>
      <protection locked="0"/>
    </xf>
    <xf numFmtId="0" fontId="20" fillId="0" borderId="45" xfId="0" applyFont="1" applyBorder="1" applyAlignment="1" applyProtection="1">
      <alignment vertical="center" wrapText="1"/>
      <protection locked="0"/>
    </xf>
    <xf numFmtId="0" fontId="18" fillId="0" borderId="7" xfId="0" applyFont="1" applyBorder="1" applyAlignment="1" applyProtection="1">
      <alignment horizontal="center" vertical="center"/>
      <protection locked="0"/>
    </xf>
    <xf numFmtId="0" fontId="18" fillId="0" borderId="39" xfId="0" applyFont="1" applyBorder="1" applyAlignment="1" applyProtection="1">
      <alignment horizontal="center" vertical="center"/>
      <protection locked="0"/>
    </xf>
    <xf numFmtId="0" fontId="20" fillId="0" borderId="22" xfId="0" applyFont="1" applyBorder="1" applyAlignment="1" applyProtection="1">
      <alignment vertical="center"/>
      <protection locked="0"/>
    </xf>
    <xf numFmtId="0" fontId="20" fillId="0" borderId="14" xfId="0" applyFont="1" applyBorder="1" applyAlignment="1" applyProtection="1">
      <alignment vertical="center"/>
      <protection locked="0"/>
    </xf>
    <xf numFmtId="0" fontId="20" fillId="0" borderId="18" xfId="0" applyFont="1" applyBorder="1" applyAlignment="1" applyProtection="1">
      <alignment horizontal="left" vertical="center"/>
      <protection locked="0"/>
    </xf>
    <xf numFmtId="0" fontId="20" fillId="0" borderId="2" xfId="0" applyFont="1" applyBorder="1" applyAlignment="1" applyProtection="1">
      <alignment horizontal="left" vertical="center"/>
      <protection locked="0"/>
    </xf>
    <xf numFmtId="0" fontId="18" fillId="0" borderId="10" xfId="0" applyFont="1" applyBorder="1" applyAlignment="1" applyProtection="1">
      <alignment horizontal="center" vertical="center"/>
      <protection locked="0"/>
    </xf>
    <xf numFmtId="0" fontId="18" fillId="0" borderId="41" xfId="0" applyFont="1" applyBorder="1" applyAlignment="1" applyProtection="1">
      <alignment horizontal="center" vertical="center"/>
      <protection locked="0"/>
    </xf>
    <xf numFmtId="0" fontId="20" fillId="0" borderId="3" xfId="0" applyFont="1" applyBorder="1" applyAlignment="1" applyProtection="1">
      <alignment horizontal="left" vertical="center"/>
      <protection locked="0"/>
    </xf>
    <xf numFmtId="0" fontId="18" fillId="0" borderId="46" xfId="0" applyFont="1" applyBorder="1" applyAlignment="1" applyProtection="1">
      <alignment horizontal="center" vertical="center"/>
      <protection locked="0"/>
    </xf>
    <xf numFmtId="0" fontId="18" fillId="0" borderId="62" xfId="0" applyFont="1" applyBorder="1" applyAlignment="1" applyProtection="1">
      <alignment horizontal="center" vertical="center"/>
      <protection locked="0"/>
    </xf>
    <xf numFmtId="0" fontId="18" fillId="0" borderId="45" xfId="0" applyFont="1" applyBorder="1" applyAlignment="1" applyProtection="1">
      <alignment horizontal="center" vertical="center"/>
      <protection locked="0"/>
    </xf>
    <xf numFmtId="0" fontId="18" fillId="0" borderId="33" xfId="0" applyFont="1" applyBorder="1" applyAlignment="1" applyProtection="1">
      <alignment horizontal="center" vertical="center"/>
      <protection locked="0"/>
    </xf>
    <xf numFmtId="0" fontId="18" fillId="0" borderId="57" xfId="0" applyFont="1" applyBorder="1" applyAlignment="1" applyProtection="1">
      <alignment horizontal="center" vertical="center"/>
      <protection locked="0"/>
    </xf>
    <xf numFmtId="0" fontId="18" fillId="0" borderId="6" xfId="0" applyFont="1" applyBorder="1" applyAlignment="1" applyProtection="1">
      <alignment horizontal="center" vertical="center"/>
      <protection locked="0"/>
    </xf>
    <xf numFmtId="0" fontId="18" fillId="0" borderId="3" xfId="0" applyFont="1" applyBorder="1" applyAlignment="1" applyProtection="1">
      <alignment horizontal="center" vertical="center"/>
      <protection locked="0"/>
    </xf>
    <xf numFmtId="0" fontId="20" fillId="0" borderId="57" xfId="0" applyFont="1" applyBorder="1" applyAlignment="1" applyProtection="1">
      <alignment vertical="center"/>
      <protection locked="0"/>
    </xf>
    <xf numFmtId="0" fontId="18" fillId="0" borderId="22" xfId="0" applyFont="1" applyBorder="1" applyAlignment="1" applyProtection="1">
      <alignment horizontal="center" vertical="center"/>
      <protection locked="0"/>
    </xf>
    <xf numFmtId="0" fontId="20" fillId="0" borderId="9" xfId="0" applyFont="1" applyBorder="1" applyProtection="1">
      <protection locked="0"/>
    </xf>
    <xf numFmtId="0" fontId="20" fillId="0" borderId="14" xfId="0" applyFont="1" applyBorder="1" applyProtection="1">
      <protection locked="0"/>
    </xf>
    <xf numFmtId="0" fontId="20" fillId="0" borderId="51" xfId="0" applyFont="1" applyBorder="1" applyAlignment="1" applyProtection="1">
      <alignment vertical="center"/>
      <protection locked="0"/>
    </xf>
    <xf numFmtId="0" fontId="20" fillId="0" borderId="13" xfId="0" applyFont="1" applyBorder="1" applyProtection="1">
      <protection locked="0"/>
    </xf>
    <xf numFmtId="0" fontId="20" fillId="0" borderId="43" xfId="0" applyFont="1" applyBorder="1" applyAlignment="1" applyProtection="1">
      <alignment vertical="center" wrapText="1"/>
      <protection locked="0"/>
    </xf>
    <xf numFmtId="0" fontId="18" fillId="0" borderId="24" xfId="0" applyFont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8" fillId="0" borderId="5" xfId="0" applyFont="1" applyBorder="1" applyAlignment="1" applyProtection="1">
      <alignment horizontal="center" vertical="center" wrapText="1"/>
      <protection locked="0"/>
    </xf>
    <xf numFmtId="0" fontId="20" fillId="0" borderId="16" xfId="0" applyFont="1" applyBorder="1" applyAlignment="1" applyProtection="1">
      <alignment vertical="center" wrapText="1"/>
      <protection locked="0"/>
    </xf>
    <xf numFmtId="0" fontId="20" fillId="0" borderId="15" xfId="0" applyFont="1" applyBorder="1" applyAlignment="1" applyProtection="1">
      <alignment vertical="center" wrapText="1"/>
      <protection locked="0"/>
    </xf>
    <xf numFmtId="0" fontId="18" fillId="0" borderId="54" xfId="0" applyFont="1" applyBorder="1" applyAlignment="1" applyProtection="1">
      <alignment horizontal="center" vertical="center" wrapText="1"/>
      <protection locked="0"/>
    </xf>
    <xf numFmtId="0" fontId="18" fillId="0" borderId="46" xfId="0" applyFont="1" applyBorder="1" applyAlignment="1" applyProtection="1">
      <alignment horizontal="center" vertical="center" wrapText="1"/>
      <protection locked="0"/>
    </xf>
    <xf numFmtId="0" fontId="18" fillId="0" borderId="62" xfId="0" applyFont="1" applyBorder="1" applyAlignment="1" applyProtection="1">
      <alignment horizontal="center" vertical="center" wrapText="1"/>
      <protection locked="0"/>
    </xf>
    <xf numFmtId="0" fontId="18" fillId="0" borderId="45" xfId="0" applyFont="1" applyBorder="1" applyAlignment="1" applyProtection="1">
      <alignment horizontal="center" vertical="center" wrapText="1"/>
      <protection locked="0"/>
    </xf>
    <xf numFmtId="0" fontId="20" fillId="0" borderId="63" xfId="0" applyFont="1" applyBorder="1" applyAlignment="1" applyProtection="1">
      <alignment vertical="center" wrapText="1"/>
      <protection locked="0"/>
    </xf>
    <xf numFmtId="0" fontId="18" fillId="0" borderId="29" xfId="0" applyFont="1" applyBorder="1" applyAlignment="1" applyProtection="1">
      <alignment horizontal="center" vertical="center" wrapText="1"/>
      <protection locked="0"/>
    </xf>
    <xf numFmtId="0" fontId="18" fillId="0" borderId="22" xfId="0" applyFont="1" applyBorder="1" applyAlignment="1" applyProtection="1">
      <alignment horizontal="center" vertical="center" wrapText="1"/>
      <protection locked="0"/>
    </xf>
    <xf numFmtId="0" fontId="18" fillId="0" borderId="60" xfId="0" applyFont="1" applyBorder="1" applyAlignment="1" applyProtection="1">
      <alignment horizontal="center" vertical="center" wrapText="1"/>
      <protection locked="0"/>
    </xf>
    <xf numFmtId="0" fontId="19" fillId="0" borderId="54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60" xfId="0" applyFont="1" applyBorder="1" applyAlignment="1" applyProtection="1">
      <alignment horizontal="center" vertical="center" wrapText="1"/>
      <protection locked="0"/>
    </xf>
    <xf numFmtId="0" fontId="20" fillId="0" borderId="27" xfId="0" applyFont="1" applyBorder="1" applyAlignment="1" applyProtection="1">
      <alignment vertical="center" wrapText="1"/>
      <protection locked="0"/>
    </xf>
    <xf numFmtId="0" fontId="18" fillId="0" borderId="34" xfId="0" applyFont="1" applyBorder="1" applyAlignment="1" applyProtection="1">
      <alignment horizontal="center" vertical="center" wrapText="1"/>
      <protection locked="0"/>
    </xf>
    <xf numFmtId="0" fontId="18" fillId="0" borderId="65" xfId="0" applyFont="1" applyBorder="1" applyAlignment="1" applyProtection="1">
      <alignment horizontal="center" vertical="center" wrapText="1"/>
      <protection locked="0"/>
    </xf>
    <xf numFmtId="0" fontId="18" fillId="0" borderId="35" xfId="0" applyFont="1" applyBorder="1" applyAlignment="1" applyProtection="1">
      <alignment horizontal="center" vertical="center" wrapText="1"/>
      <protection locked="0"/>
    </xf>
    <xf numFmtId="0" fontId="0" fillId="0" borderId="7" xfId="0" applyBorder="1" applyProtection="1">
      <protection locked="0"/>
    </xf>
    <xf numFmtId="0" fontId="0" fillId="0" borderId="1" xfId="0" applyBorder="1" applyProtection="1"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8" fillId="0" borderId="63" xfId="0" applyFont="1" applyBorder="1" applyAlignment="1" applyProtection="1">
      <alignment horizontal="center" vertical="center" wrapText="1"/>
      <protection locked="0"/>
    </xf>
    <xf numFmtId="0" fontId="20" fillId="0" borderId="40" xfId="0" applyFont="1" applyBorder="1" applyAlignment="1" applyProtection="1">
      <alignment vertical="center" wrapText="1"/>
      <protection locked="0"/>
    </xf>
    <xf numFmtId="0" fontId="19" fillId="0" borderId="13" xfId="0" applyFont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 applyProtection="1">
      <alignment vertical="center" wrapText="1"/>
      <protection locked="0"/>
    </xf>
    <xf numFmtId="0" fontId="20" fillId="0" borderId="26" xfId="0" applyFont="1" applyBorder="1" applyAlignment="1" applyProtection="1">
      <alignment vertical="center" wrapText="1"/>
      <protection locked="0"/>
    </xf>
    <xf numFmtId="0" fontId="18" fillId="0" borderId="16" xfId="0" applyFont="1" applyBorder="1" applyAlignment="1" applyProtection="1">
      <alignment horizontal="center" vertical="center" wrapText="1"/>
      <protection locked="0"/>
    </xf>
    <xf numFmtId="0" fontId="18" fillId="0" borderId="26" xfId="0" applyFont="1" applyBorder="1" applyAlignment="1" applyProtection="1">
      <alignment horizontal="center" vertical="center" wrapText="1"/>
      <protection locked="0"/>
    </xf>
    <xf numFmtId="0" fontId="20" fillId="0" borderId="28" xfId="0" applyFont="1" applyBorder="1" applyAlignment="1" applyProtection="1">
      <alignment vertical="center" wrapText="1"/>
      <protection locked="0"/>
    </xf>
    <xf numFmtId="0" fontId="20" fillId="0" borderId="9" xfId="0" applyFont="1" applyBorder="1" applyAlignment="1" applyProtection="1">
      <alignment vertical="center" wrapText="1"/>
      <protection locked="0"/>
    </xf>
    <xf numFmtId="0" fontId="20" fillId="0" borderId="13" xfId="0" applyFont="1" applyBorder="1" applyAlignment="1" applyProtection="1">
      <alignment vertical="center" wrapText="1"/>
      <protection locked="0"/>
    </xf>
    <xf numFmtId="0" fontId="20" fillId="0" borderId="11" xfId="0" applyFont="1" applyBorder="1" applyAlignment="1" applyProtection="1">
      <alignment vertical="center" wrapText="1"/>
      <protection locked="0"/>
    </xf>
    <xf numFmtId="0" fontId="4" fillId="0" borderId="54" xfId="0" applyFont="1" applyBorder="1" applyAlignment="1" applyProtection="1">
      <alignment horizontal="center" vertical="center"/>
      <protection locked="0"/>
    </xf>
    <xf numFmtId="0" fontId="4" fillId="0" borderId="46" xfId="0" applyFont="1" applyBorder="1" applyAlignment="1" applyProtection="1">
      <alignment horizontal="center" vertical="center"/>
      <protection locked="0"/>
    </xf>
    <xf numFmtId="0" fontId="4" fillId="0" borderId="62" xfId="0" applyFont="1" applyBorder="1" applyAlignment="1" applyProtection="1">
      <alignment horizontal="center" vertical="center"/>
      <protection locked="0"/>
    </xf>
    <xf numFmtId="0" fontId="4" fillId="0" borderId="45" xfId="0" applyFont="1" applyBorder="1" applyAlignment="1" applyProtection="1">
      <alignment horizontal="center" vertical="center"/>
      <protection locked="0"/>
    </xf>
    <xf numFmtId="0" fontId="0" fillId="0" borderId="46" xfId="0" applyBorder="1" applyAlignment="1" applyProtection="1">
      <alignment vertical="center" wrapText="1"/>
      <protection locked="0"/>
    </xf>
    <xf numFmtId="0" fontId="0" fillId="0" borderId="45" xfId="0" applyBorder="1" applyAlignment="1" applyProtection="1">
      <alignment vertical="center" wrapText="1"/>
      <protection locked="0"/>
    </xf>
    <xf numFmtId="0" fontId="4" fillId="0" borderId="29" xfId="0" applyFont="1" applyBorder="1" applyAlignment="1" applyProtection="1">
      <alignment horizontal="center" vertical="center"/>
      <protection locked="0"/>
    </xf>
    <xf numFmtId="0" fontId="4" fillId="0" borderId="22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vertical="center" wrapText="1"/>
      <protection locked="0"/>
    </xf>
    <xf numFmtId="0" fontId="0" fillId="0" borderId="2" xfId="0" applyBorder="1" applyAlignment="1" applyProtection="1">
      <alignment vertical="center" wrapText="1"/>
      <protection locked="0"/>
    </xf>
    <xf numFmtId="0" fontId="0" fillId="0" borderId="22" xfId="0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4" fillId="0" borderId="60" xfId="0" applyFont="1" applyBorder="1" applyAlignment="1" applyProtection="1">
      <alignment horizontal="center" vertical="center"/>
      <protection locked="0"/>
    </xf>
    <xf numFmtId="0" fontId="4" fillId="0" borderId="57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0" fillId="0" borderId="57" xfId="0" applyBorder="1" applyAlignment="1" applyProtection="1">
      <alignment vertical="center"/>
      <protection locked="0"/>
    </xf>
    <xf numFmtId="0" fontId="0" fillId="0" borderId="3" xfId="0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horizontal="center" vertical="center"/>
      <protection locked="0"/>
    </xf>
    <xf numFmtId="0" fontId="0" fillId="0" borderId="17" xfId="0" applyBorder="1" applyProtection="1">
      <protection locked="0"/>
    </xf>
    <xf numFmtId="0" fontId="0" fillId="0" borderId="18" xfId="0" applyBorder="1" applyAlignment="1" applyProtection="1">
      <alignment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0" fillId="0" borderId="7" xfId="0" applyBorder="1" applyAlignment="1" applyProtection="1">
      <alignment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0" fillId="0" borderId="63" xfId="0" applyBorder="1" applyAlignment="1" applyProtection="1">
      <alignment vertical="center"/>
      <protection locked="0"/>
    </xf>
    <xf numFmtId="0" fontId="0" fillId="0" borderId="12" xfId="0" applyBorder="1" applyAlignment="1" applyProtection="1">
      <alignment vertical="center"/>
      <protection locked="0"/>
    </xf>
    <xf numFmtId="0" fontId="0" fillId="0" borderId="46" xfId="0" applyBorder="1" applyAlignment="1" applyProtection="1">
      <alignment vertical="center"/>
      <protection locked="0"/>
    </xf>
    <xf numFmtId="0" fontId="0" fillId="0" borderId="45" xfId="0" applyBorder="1" applyAlignment="1" applyProtection="1">
      <alignment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31" xfId="0" applyFont="1" applyBorder="1" applyAlignment="1" applyProtection="1">
      <alignment horizontal="center" vertical="center"/>
      <protection locked="0"/>
    </xf>
    <xf numFmtId="0" fontId="4" fillId="0" borderId="36" xfId="0" applyFont="1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vertical="center"/>
      <protection locked="0"/>
    </xf>
    <xf numFmtId="0" fontId="4" fillId="0" borderId="51" xfId="0" applyFont="1" applyBorder="1" applyAlignment="1" applyProtection="1">
      <alignment horizontal="center" vertical="center"/>
      <protection locked="0"/>
    </xf>
    <xf numFmtId="0" fontId="4" fillId="0" borderId="40" xfId="0" applyFont="1" applyBorder="1" applyAlignment="1" applyProtection="1">
      <alignment horizontal="center" vertical="center"/>
      <protection locked="0"/>
    </xf>
    <xf numFmtId="0" fontId="4" fillId="0" borderId="18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center" vertical="center"/>
      <protection locked="0"/>
    </xf>
    <xf numFmtId="0" fontId="4" fillId="0" borderId="63" xfId="0" applyFont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64" xfId="0" applyFont="1" applyBorder="1" applyAlignment="1" applyProtection="1">
      <alignment horizontal="center" vertical="center"/>
      <protection locked="0"/>
    </xf>
    <xf numFmtId="0" fontId="4" fillId="0" borderId="24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vertical="center"/>
      <protection locked="0"/>
    </xf>
    <xf numFmtId="0" fontId="0" fillId="0" borderId="26" xfId="0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alignment horizontal="center" vertical="center"/>
      <protection locked="0"/>
    </xf>
    <xf numFmtId="0" fontId="4" fillId="7" borderId="25" xfId="0" applyFont="1" applyFill="1" applyBorder="1" applyAlignment="1" applyProtection="1">
      <alignment horizontal="center" vertical="center"/>
      <protection locked="0"/>
    </xf>
    <xf numFmtId="0" fontId="0" fillId="7" borderId="7" xfId="0" applyFill="1" applyBorder="1" applyAlignment="1" applyProtection="1">
      <alignment vertical="center"/>
      <protection locked="0"/>
    </xf>
    <xf numFmtId="0" fontId="0" fillId="7" borderId="2" xfId="0" applyFill="1" applyBorder="1" applyAlignment="1" applyProtection="1">
      <alignment vertical="center"/>
      <protection locked="0"/>
    </xf>
    <xf numFmtId="0" fontId="21" fillId="9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justify" vertical="center"/>
    </xf>
    <xf numFmtId="0" fontId="18" fillId="1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justify" vertical="center" wrapText="1"/>
    </xf>
    <xf numFmtId="0" fontId="20" fillId="7" borderId="1" xfId="0" applyFont="1" applyFill="1" applyBorder="1" applyAlignment="1">
      <alignment horizontal="justify" vertical="center" wrapText="1"/>
    </xf>
    <xf numFmtId="0" fontId="22" fillId="0" borderId="1" xfId="0" applyFont="1" applyBorder="1" applyAlignment="1">
      <alignment horizontal="justify" vertical="center" wrapText="1"/>
    </xf>
    <xf numFmtId="0" fontId="24" fillId="0" borderId="1" xfId="0" applyFont="1" applyBorder="1" applyAlignment="1">
      <alignment horizontal="justify" vertical="center"/>
    </xf>
    <xf numFmtId="0" fontId="20" fillId="0" borderId="1" xfId="0" applyFont="1" applyBorder="1" applyAlignment="1">
      <alignment horizontal="justify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20" fillId="2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 applyProtection="1">
      <alignment horizontal="center" vertical="center" wrapText="1"/>
      <protection locked="0"/>
    </xf>
    <xf numFmtId="14" fontId="20" fillId="0" borderId="1" xfId="0" applyNumberFormat="1" applyFont="1" applyBorder="1" applyAlignment="1" applyProtection="1">
      <alignment vertical="center" wrapText="1"/>
      <protection locked="0"/>
    </xf>
    <xf numFmtId="0" fontId="20" fillId="0" borderId="20" xfId="0" applyFont="1" applyBorder="1" applyAlignment="1" applyProtection="1">
      <alignment vertical="center"/>
      <protection locked="0"/>
    </xf>
    <xf numFmtId="0" fontId="20" fillId="0" borderId="67" xfId="0" applyFont="1" applyBorder="1" applyAlignment="1" applyProtection="1">
      <alignment vertical="center"/>
      <protection locked="0"/>
    </xf>
    <xf numFmtId="0" fontId="20" fillId="0" borderId="67" xfId="0" applyFont="1" applyBorder="1" applyAlignment="1" applyProtection="1">
      <alignment horizontal="left" vertical="center"/>
      <protection locked="0"/>
    </xf>
    <xf numFmtId="0" fontId="18" fillId="0" borderId="27" xfId="0" applyFont="1" applyBorder="1" applyAlignment="1">
      <alignment vertical="center"/>
    </xf>
    <xf numFmtId="0" fontId="20" fillId="0" borderId="1" xfId="0" applyFont="1" applyBorder="1" applyAlignment="1" applyProtection="1">
      <alignment vertical="center"/>
      <protection locked="0"/>
    </xf>
    <xf numFmtId="14" fontId="20" fillId="0" borderId="2" xfId="0" applyNumberFormat="1" applyFont="1" applyBorder="1" applyAlignment="1" applyProtection="1">
      <alignment vertical="center"/>
      <protection locked="0"/>
    </xf>
    <xf numFmtId="0" fontId="20" fillId="0" borderId="21" xfId="0" applyFont="1" applyBorder="1" applyAlignment="1" applyProtection="1">
      <alignment vertical="center"/>
      <protection locked="0"/>
    </xf>
    <xf numFmtId="0" fontId="20" fillId="0" borderId="46" xfId="0" applyFont="1" applyBorder="1" applyAlignment="1" applyProtection="1">
      <alignment vertical="center" wrapText="1"/>
      <protection locked="0"/>
    </xf>
    <xf numFmtId="0" fontId="20" fillId="0" borderId="22" xfId="0" applyFont="1" applyBorder="1" applyAlignment="1" applyProtection="1">
      <alignment vertical="center" wrapText="1"/>
      <protection locked="0"/>
    </xf>
    <xf numFmtId="0" fontId="20" fillId="0" borderId="22" xfId="0" applyFont="1" applyBorder="1" applyAlignment="1" applyProtection="1">
      <alignment horizontal="left" vertical="center" wrapText="1"/>
      <protection locked="0"/>
    </xf>
    <xf numFmtId="0" fontId="20" fillId="0" borderId="51" xfId="0" applyFont="1" applyBorder="1" applyAlignment="1" applyProtection="1">
      <alignment horizontal="left" vertical="center" wrapText="1"/>
      <protection locked="0"/>
    </xf>
    <xf numFmtId="0" fontId="20" fillId="0" borderId="57" xfId="0" applyFont="1" applyBorder="1" applyAlignment="1" applyProtection="1">
      <alignment horizontal="left" vertical="center" wrapText="1"/>
      <protection locked="0"/>
    </xf>
    <xf numFmtId="0" fontId="20" fillId="0" borderId="1" xfId="0" applyFont="1" applyBorder="1" applyAlignment="1" applyProtection="1">
      <alignment horizontal="left" vertical="center"/>
      <protection locked="0"/>
    </xf>
    <xf numFmtId="14" fontId="20" fillId="0" borderId="1" xfId="0" applyNumberFormat="1" applyFont="1" applyBorder="1" applyAlignment="1" applyProtection="1">
      <alignment vertical="center"/>
      <protection locked="0"/>
    </xf>
    <xf numFmtId="0" fontId="21" fillId="9" borderId="68" xfId="0" applyFont="1" applyFill="1" applyBorder="1" applyAlignment="1">
      <alignment horizontal="center" vertical="center" wrapText="1"/>
    </xf>
    <xf numFmtId="0" fontId="20" fillId="0" borderId="66" xfId="0" applyFont="1" applyBorder="1" applyAlignment="1" applyProtection="1">
      <alignment vertical="center"/>
      <protection locked="0"/>
    </xf>
    <xf numFmtId="0" fontId="20" fillId="0" borderId="69" xfId="0" applyFont="1" applyBorder="1" applyAlignment="1">
      <alignment vertical="center"/>
    </xf>
    <xf numFmtId="0" fontId="20" fillId="0" borderId="20" xfId="0" applyFont="1" applyBorder="1" applyAlignment="1">
      <alignment vertical="center"/>
    </xf>
    <xf numFmtId="0" fontId="18" fillId="0" borderId="30" xfId="0" applyFont="1" applyBorder="1" applyAlignment="1">
      <alignment vertical="center"/>
    </xf>
    <xf numFmtId="0" fontId="18" fillId="0" borderId="66" xfId="0" applyFont="1" applyBorder="1" applyAlignment="1" applyProtection="1">
      <alignment horizontal="center" vertical="center"/>
      <protection locked="0"/>
    </xf>
    <xf numFmtId="0" fontId="18" fillId="0" borderId="70" xfId="0" applyFont="1" applyBorder="1" applyAlignment="1">
      <alignment vertical="center"/>
    </xf>
    <xf numFmtId="0" fontId="31" fillId="0" borderId="29" xfId="0" applyFont="1" applyBorder="1" applyAlignment="1">
      <alignment horizontal="justify" vertical="center"/>
    </xf>
    <xf numFmtId="0" fontId="25" fillId="0" borderId="29" xfId="0" applyFont="1" applyBorder="1" applyAlignment="1">
      <alignment vertical="center" wrapText="1"/>
    </xf>
    <xf numFmtId="0" fontId="20" fillId="0" borderId="21" xfId="0" applyFont="1" applyBorder="1" applyProtection="1">
      <protection locked="0"/>
    </xf>
    <xf numFmtId="0" fontId="20" fillId="0" borderId="25" xfId="0" applyFont="1" applyBorder="1" applyProtection="1">
      <protection locked="0"/>
    </xf>
    <xf numFmtId="0" fontId="20" fillId="0" borderId="1" xfId="0" applyFont="1" applyBorder="1" applyAlignment="1">
      <alignment vertical="center"/>
    </xf>
    <xf numFmtId="14" fontId="20" fillId="0" borderId="45" xfId="0" applyNumberFormat="1" applyFont="1" applyBorder="1" applyAlignment="1" applyProtection="1">
      <alignment vertical="center" wrapText="1"/>
      <protection locked="0"/>
    </xf>
    <xf numFmtId="14" fontId="0" fillId="0" borderId="2" xfId="0" applyNumberFormat="1" applyBorder="1" applyAlignment="1" applyProtection="1">
      <alignment vertical="center"/>
      <protection locked="0"/>
    </xf>
    <xf numFmtId="0" fontId="0" fillId="0" borderId="7" xfId="0" applyBorder="1" applyAlignment="1" applyProtection="1">
      <alignment vertical="center" wrapText="1"/>
      <protection locked="0"/>
    </xf>
    <xf numFmtId="0" fontId="0" fillId="0" borderId="10" xfId="0" applyBorder="1" applyAlignment="1" applyProtection="1">
      <alignment vertical="center" wrapText="1"/>
      <protection locked="0"/>
    </xf>
    <xf numFmtId="0" fontId="19" fillId="2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9" fontId="18" fillId="6" borderId="1" xfId="1" applyFont="1" applyFill="1" applyBorder="1" applyAlignment="1" applyProtection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0" fontId="20" fillId="0" borderId="30" xfId="0" applyFont="1" applyBorder="1" applyAlignment="1">
      <alignment horizontal="center" vertical="center" wrapText="1"/>
    </xf>
    <xf numFmtId="9" fontId="18" fillId="12" borderId="52" xfId="1" applyFont="1" applyFill="1" applyBorder="1" applyAlignment="1">
      <alignment horizontal="center" vertical="center" wrapText="1"/>
    </xf>
    <xf numFmtId="9" fontId="18" fillId="12" borderId="53" xfId="1" applyFont="1" applyFill="1" applyBorder="1" applyAlignment="1">
      <alignment horizontal="center" vertical="center" wrapText="1"/>
    </xf>
    <xf numFmtId="9" fontId="18" fillId="12" borderId="47" xfId="1" applyFont="1" applyFill="1" applyBorder="1" applyAlignment="1">
      <alignment horizontal="center" vertical="center" wrapText="1"/>
    </xf>
    <xf numFmtId="9" fontId="18" fillId="12" borderId="58" xfId="1" applyFont="1" applyFill="1" applyBorder="1" applyAlignment="1">
      <alignment horizontal="center" vertical="center" wrapText="1"/>
    </xf>
    <xf numFmtId="9" fontId="18" fillId="12" borderId="30" xfId="1" applyFont="1" applyFill="1" applyBorder="1" applyAlignment="1">
      <alignment horizontal="center" vertical="center" wrapText="1"/>
    </xf>
    <xf numFmtId="9" fontId="18" fillId="12" borderId="59" xfId="1" applyFont="1" applyFill="1" applyBorder="1" applyAlignment="1">
      <alignment horizontal="center" vertical="center" wrapText="1"/>
    </xf>
    <xf numFmtId="0" fontId="19" fillId="2" borderId="42" xfId="0" applyFont="1" applyFill="1" applyBorder="1" applyAlignment="1">
      <alignment horizontal="center" vertical="center" wrapText="1"/>
    </xf>
    <xf numFmtId="0" fontId="19" fillId="2" borderId="33" xfId="0" applyFont="1" applyFill="1" applyBorder="1" applyAlignment="1">
      <alignment horizontal="center" vertical="center" wrapText="1"/>
    </xf>
    <xf numFmtId="0" fontId="20" fillId="13" borderId="52" xfId="0" applyFont="1" applyFill="1" applyBorder="1" applyAlignment="1">
      <alignment horizontal="center" vertical="center" wrapText="1"/>
    </xf>
    <xf numFmtId="0" fontId="20" fillId="13" borderId="53" xfId="0" applyFont="1" applyFill="1" applyBorder="1" applyAlignment="1">
      <alignment horizontal="center" vertical="center" wrapText="1"/>
    </xf>
    <xf numFmtId="0" fontId="20" fillId="13" borderId="47" xfId="0" applyFont="1" applyFill="1" applyBorder="1" applyAlignment="1">
      <alignment horizontal="center" vertical="center" wrapText="1"/>
    </xf>
    <xf numFmtId="0" fontId="20" fillId="13" borderId="58" xfId="0" applyFont="1" applyFill="1" applyBorder="1" applyAlignment="1">
      <alignment horizontal="center" vertical="center" wrapText="1"/>
    </xf>
    <xf numFmtId="0" fontId="20" fillId="13" borderId="30" xfId="0" applyFont="1" applyFill="1" applyBorder="1" applyAlignment="1">
      <alignment horizontal="center" vertical="center" wrapText="1"/>
    </xf>
    <xf numFmtId="0" fontId="20" fillId="13" borderId="59" xfId="0" applyFont="1" applyFill="1" applyBorder="1" applyAlignment="1">
      <alignment horizontal="center" vertical="center" wrapText="1"/>
    </xf>
    <xf numFmtId="0" fontId="20" fillId="3" borderId="52" xfId="0" applyFont="1" applyFill="1" applyBorder="1" applyAlignment="1">
      <alignment horizontal="center" vertical="center" wrapText="1"/>
    </xf>
    <xf numFmtId="0" fontId="20" fillId="3" borderId="53" xfId="0" applyFont="1" applyFill="1" applyBorder="1" applyAlignment="1">
      <alignment horizontal="center" vertical="center" wrapText="1"/>
    </xf>
    <xf numFmtId="0" fontId="20" fillId="3" borderId="47" xfId="0" applyFont="1" applyFill="1" applyBorder="1" applyAlignment="1">
      <alignment horizontal="center" vertical="center" wrapText="1"/>
    </xf>
    <xf numFmtId="0" fontId="20" fillId="3" borderId="58" xfId="0" applyFont="1" applyFill="1" applyBorder="1" applyAlignment="1">
      <alignment horizontal="center" vertical="center" wrapText="1"/>
    </xf>
    <xf numFmtId="0" fontId="20" fillId="3" borderId="0" xfId="0" applyFont="1" applyFill="1" applyAlignment="1">
      <alignment horizontal="center" vertical="center" wrapText="1"/>
    </xf>
    <xf numFmtId="0" fontId="20" fillId="3" borderId="59" xfId="0" applyFont="1" applyFill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9" fontId="18" fillId="6" borderId="52" xfId="1" applyFont="1" applyFill="1" applyBorder="1" applyAlignment="1">
      <alignment horizontal="center" vertical="center" wrapText="1"/>
    </xf>
    <xf numFmtId="9" fontId="18" fillId="6" borderId="53" xfId="1" applyFont="1" applyFill="1" applyBorder="1" applyAlignment="1">
      <alignment horizontal="center" vertical="center" wrapText="1"/>
    </xf>
    <xf numFmtId="9" fontId="18" fillId="6" borderId="47" xfId="1" applyFont="1" applyFill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20" fillId="3" borderId="43" xfId="0" applyFont="1" applyFill="1" applyBorder="1" applyAlignment="1" applyProtection="1">
      <alignment horizontal="center" vertical="center" wrapText="1"/>
      <protection locked="0"/>
    </xf>
    <xf numFmtId="0" fontId="20" fillId="3" borderId="27" xfId="0" applyFont="1" applyFill="1" applyBorder="1" applyAlignment="1" applyProtection="1">
      <alignment horizontal="center" vertical="center" wrapText="1"/>
      <protection locked="0"/>
    </xf>
    <xf numFmtId="0" fontId="20" fillId="3" borderId="0" xfId="0" applyFont="1" applyFill="1" applyAlignment="1" applyProtection="1">
      <alignment horizontal="center" vertical="center" wrapText="1"/>
      <protection locked="0"/>
    </xf>
    <xf numFmtId="0" fontId="20" fillId="3" borderId="26" xfId="0" applyFont="1" applyFill="1" applyBorder="1" applyAlignment="1" applyProtection="1">
      <alignment horizontal="center" vertical="center" wrapText="1"/>
      <protection locked="0"/>
    </xf>
    <xf numFmtId="0" fontId="19" fillId="2" borderId="32" xfId="0" applyFont="1" applyFill="1" applyBorder="1" applyAlignment="1">
      <alignment horizontal="center" vertical="center" wrapText="1"/>
    </xf>
    <xf numFmtId="0" fontId="20" fillId="3" borderId="38" xfId="0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9" fontId="18" fillId="5" borderId="52" xfId="1" applyFont="1" applyFill="1" applyBorder="1" applyAlignment="1">
      <alignment horizontal="center" vertical="center" wrapText="1"/>
    </xf>
    <xf numFmtId="9" fontId="18" fillId="5" borderId="53" xfId="1" applyFont="1" applyFill="1" applyBorder="1" applyAlignment="1">
      <alignment horizontal="center" vertical="center" wrapText="1"/>
    </xf>
    <xf numFmtId="9" fontId="18" fillId="5" borderId="47" xfId="1" applyFont="1" applyFill="1" applyBorder="1" applyAlignment="1">
      <alignment horizontal="center" vertical="center" wrapText="1"/>
    </xf>
    <xf numFmtId="9" fontId="18" fillId="5" borderId="38" xfId="1" applyFont="1" applyFill="1" applyBorder="1" applyAlignment="1">
      <alignment horizontal="center" vertical="center" wrapText="1"/>
    </xf>
    <xf numFmtId="9" fontId="18" fillId="5" borderId="0" xfId="1" applyFont="1" applyFill="1" applyBorder="1" applyAlignment="1">
      <alignment horizontal="center" vertical="center" wrapText="1"/>
    </xf>
    <xf numFmtId="9" fontId="18" fillId="5" borderId="36" xfId="1" applyFont="1" applyFill="1" applyBorder="1" applyAlignment="1">
      <alignment horizontal="center" vertical="center" wrapText="1"/>
    </xf>
    <xf numFmtId="9" fontId="37" fillId="12" borderId="43" xfId="1" applyFont="1" applyFill="1" applyBorder="1" applyAlignment="1">
      <alignment horizontal="center" vertical="center" wrapText="1"/>
    </xf>
    <xf numFmtId="9" fontId="37" fillId="12" borderId="27" xfId="1" applyFont="1" applyFill="1" applyBorder="1" applyAlignment="1">
      <alignment horizontal="center" vertical="center" wrapText="1"/>
    </xf>
    <xf numFmtId="9" fontId="37" fillId="12" borderId="26" xfId="1" applyFont="1" applyFill="1" applyBorder="1" applyAlignment="1">
      <alignment horizontal="center" vertical="center" wrapText="1"/>
    </xf>
    <xf numFmtId="0" fontId="19" fillId="2" borderId="38" xfId="0" applyFont="1" applyFill="1" applyBorder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9" fillId="2" borderId="36" xfId="0" applyFont="1" applyFill="1" applyBorder="1" applyAlignment="1">
      <alignment horizontal="center" vertical="center" wrapText="1"/>
    </xf>
    <xf numFmtId="0" fontId="31" fillId="0" borderId="43" xfId="0" applyFont="1" applyBorder="1" applyAlignment="1">
      <alignment horizontal="center" vertical="center" wrapText="1"/>
    </xf>
    <xf numFmtId="0" fontId="31" fillId="0" borderId="26" xfId="0" applyFont="1" applyBorder="1" applyAlignment="1">
      <alignment horizontal="center" vertical="center" wrapText="1"/>
    </xf>
    <xf numFmtId="0" fontId="19" fillId="2" borderId="43" xfId="0" applyFont="1" applyFill="1" applyBorder="1" applyAlignment="1">
      <alignment horizontal="center" vertical="center" wrapText="1"/>
    </xf>
    <xf numFmtId="0" fontId="19" fillId="2" borderId="27" xfId="0" applyFont="1" applyFill="1" applyBorder="1" applyAlignment="1">
      <alignment horizontal="center" vertical="center" wrapText="1"/>
    </xf>
    <xf numFmtId="0" fontId="19" fillId="2" borderId="26" xfId="0" applyFont="1" applyFill="1" applyBorder="1" applyAlignment="1">
      <alignment horizontal="center" vertical="center" wrapText="1"/>
    </xf>
    <xf numFmtId="0" fontId="19" fillId="2" borderId="11" xfId="0" applyFont="1" applyFill="1" applyBorder="1" applyAlignment="1">
      <alignment horizontal="center" vertical="center" wrapText="1"/>
    </xf>
    <xf numFmtId="9" fontId="18" fillId="4" borderId="43" xfId="1" applyFont="1" applyFill="1" applyBorder="1" applyAlignment="1">
      <alignment horizontal="center" vertical="center" wrapText="1"/>
    </xf>
    <xf numFmtId="9" fontId="18" fillId="4" borderId="27" xfId="1" applyFont="1" applyFill="1" applyBorder="1" applyAlignment="1">
      <alignment horizontal="center" vertical="center" wrapText="1"/>
    </xf>
    <xf numFmtId="9" fontId="18" fillId="4" borderId="26" xfId="1" applyFont="1" applyFill="1" applyBorder="1" applyAlignment="1">
      <alignment horizontal="center" vertical="center" wrapText="1"/>
    </xf>
    <xf numFmtId="0" fontId="19" fillId="2" borderId="58" xfId="0" applyFont="1" applyFill="1" applyBorder="1" applyAlignment="1">
      <alignment horizontal="center" vertical="center" wrapText="1"/>
    </xf>
    <xf numFmtId="0" fontId="19" fillId="2" borderId="30" xfId="0" applyFont="1" applyFill="1" applyBorder="1" applyAlignment="1">
      <alignment horizontal="center" vertical="center" wrapText="1"/>
    </xf>
    <xf numFmtId="0" fontId="19" fillId="2" borderId="59" xfId="0" applyFont="1" applyFill="1" applyBorder="1" applyAlignment="1">
      <alignment horizontal="center" vertical="center" wrapText="1"/>
    </xf>
    <xf numFmtId="9" fontId="18" fillId="4" borderId="53" xfId="1" applyFont="1" applyFill="1" applyBorder="1" applyAlignment="1">
      <alignment horizontal="center" vertical="center" wrapText="1"/>
    </xf>
    <xf numFmtId="0" fontId="19" fillId="2" borderId="52" xfId="0" applyFont="1" applyFill="1" applyBorder="1" applyAlignment="1">
      <alignment horizontal="center" vertical="center" wrapText="1"/>
    </xf>
    <xf numFmtId="0" fontId="20" fillId="3" borderId="30" xfId="0" applyFont="1" applyFill="1" applyBorder="1" applyAlignment="1">
      <alignment horizontal="center" vertical="center" wrapText="1"/>
    </xf>
    <xf numFmtId="9" fontId="18" fillId="15" borderId="52" xfId="1" applyFont="1" applyFill="1" applyBorder="1" applyAlignment="1">
      <alignment horizontal="center" vertical="center" wrapText="1"/>
    </xf>
    <xf numFmtId="9" fontId="18" fillId="15" borderId="53" xfId="1" applyFont="1" applyFill="1" applyBorder="1" applyAlignment="1">
      <alignment horizontal="center" vertical="center" wrapText="1"/>
    </xf>
    <xf numFmtId="9" fontId="18" fillId="15" borderId="47" xfId="1" applyFont="1" applyFill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/>
    </xf>
    <xf numFmtId="0" fontId="22" fillId="0" borderId="59" xfId="0" applyFont="1" applyBorder="1" applyAlignment="1">
      <alignment horizontal="center" vertical="center"/>
    </xf>
    <xf numFmtId="9" fontId="18" fillId="14" borderId="52" xfId="1" applyFont="1" applyFill="1" applyBorder="1" applyAlignment="1">
      <alignment horizontal="center" vertical="center" wrapText="1"/>
    </xf>
    <xf numFmtId="9" fontId="18" fillId="14" borderId="53" xfId="1" applyFont="1" applyFill="1" applyBorder="1" applyAlignment="1">
      <alignment horizontal="center" vertical="center" wrapText="1"/>
    </xf>
    <xf numFmtId="9" fontId="18" fillId="14" borderId="47" xfId="1" applyFont="1" applyFill="1" applyBorder="1" applyAlignment="1">
      <alignment horizontal="center" vertical="center" wrapText="1"/>
    </xf>
    <xf numFmtId="9" fontId="18" fillId="14" borderId="38" xfId="1" applyFont="1" applyFill="1" applyBorder="1" applyAlignment="1">
      <alignment horizontal="center" vertical="center" wrapText="1"/>
    </xf>
    <xf numFmtId="9" fontId="18" fillId="14" borderId="0" xfId="1" applyFont="1" applyFill="1" applyBorder="1" applyAlignment="1">
      <alignment horizontal="center" vertical="center" wrapText="1"/>
    </xf>
    <xf numFmtId="9" fontId="18" fillId="14" borderId="36" xfId="1" applyFont="1" applyFill="1" applyBorder="1" applyAlignment="1">
      <alignment horizontal="center" vertical="center" wrapText="1"/>
    </xf>
    <xf numFmtId="9" fontId="18" fillId="15" borderId="43" xfId="1" applyFont="1" applyFill="1" applyBorder="1" applyAlignment="1">
      <alignment horizontal="center" vertical="center" wrapText="1"/>
    </xf>
    <xf numFmtId="9" fontId="18" fillId="15" borderId="27" xfId="1" applyFont="1" applyFill="1" applyBorder="1" applyAlignment="1">
      <alignment horizontal="center" vertical="center" wrapText="1"/>
    </xf>
    <xf numFmtId="9" fontId="18" fillId="15" borderId="26" xfId="1" applyFont="1" applyFill="1" applyBorder="1" applyAlignment="1">
      <alignment horizontal="center" vertical="center" wrapText="1"/>
    </xf>
    <xf numFmtId="0" fontId="19" fillId="2" borderId="53" xfId="0" applyFont="1" applyFill="1" applyBorder="1" applyAlignment="1">
      <alignment horizontal="center" vertical="center" wrapText="1"/>
    </xf>
    <xf numFmtId="0" fontId="19" fillId="2" borderId="47" xfId="0" applyFont="1" applyFill="1" applyBorder="1" applyAlignment="1">
      <alignment horizontal="center" vertical="center" wrapText="1"/>
    </xf>
    <xf numFmtId="9" fontId="18" fillId="14" borderId="43" xfId="1" applyFont="1" applyFill="1" applyBorder="1" applyAlignment="1">
      <alignment horizontal="center" vertical="center" wrapText="1"/>
    </xf>
    <xf numFmtId="9" fontId="18" fillId="14" borderId="27" xfId="1" applyFont="1" applyFill="1" applyBorder="1" applyAlignment="1">
      <alignment horizontal="center" vertical="center" wrapText="1"/>
    </xf>
    <xf numFmtId="9" fontId="18" fillId="14" borderId="26" xfId="1" applyFont="1" applyFill="1" applyBorder="1" applyAlignment="1">
      <alignment horizontal="center" vertical="center" wrapText="1"/>
    </xf>
    <xf numFmtId="0" fontId="20" fillId="2" borderId="52" xfId="0" applyFont="1" applyFill="1" applyBorder="1" applyAlignment="1">
      <alignment horizontal="center" vertical="center" wrapText="1"/>
    </xf>
    <xf numFmtId="0" fontId="20" fillId="2" borderId="53" xfId="0" applyFont="1" applyFill="1" applyBorder="1" applyAlignment="1">
      <alignment horizontal="center" vertical="center" wrapText="1"/>
    </xf>
    <xf numFmtId="0" fontId="20" fillId="2" borderId="47" xfId="0" applyFont="1" applyFill="1" applyBorder="1" applyAlignment="1">
      <alignment horizontal="center" vertical="center" wrapText="1"/>
    </xf>
    <xf numFmtId="0" fontId="20" fillId="2" borderId="58" xfId="0" applyFont="1" applyFill="1" applyBorder="1" applyAlignment="1">
      <alignment horizontal="center" vertical="center" wrapText="1"/>
    </xf>
    <xf numFmtId="0" fontId="20" fillId="2" borderId="30" xfId="0" applyFont="1" applyFill="1" applyBorder="1" applyAlignment="1">
      <alignment horizontal="center" vertical="center" wrapText="1"/>
    </xf>
    <xf numFmtId="0" fontId="20" fillId="2" borderId="59" xfId="0" applyFont="1" applyFill="1" applyBorder="1" applyAlignment="1">
      <alignment horizontal="center" vertical="center" wrapText="1"/>
    </xf>
    <xf numFmtId="0" fontId="18" fillId="7" borderId="58" xfId="0" applyFont="1" applyFill="1" applyBorder="1" applyAlignment="1">
      <alignment horizontal="center" vertical="center" wrapText="1"/>
    </xf>
    <xf numFmtId="0" fontId="18" fillId="7" borderId="59" xfId="0" applyFont="1" applyFill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27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20" fillId="3" borderId="43" xfId="0" applyFont="1" applyFill="1" applyBorder="1" applyAlignment="1">
      <alignment horizontal="center" vertical="center" wrapText="1"/>
    </xf>
    <xf numFmtId="0" fontId="20" fillId="3" borderId="27" xfId="0" applyFont="1" applyFill="1" applyBorder="1" applyAlignment="1">
      <alignment horizontal="center" vertical="center" wrapText="1"/>
    </xf>
    <xf numFmtId="0" fontId="20" fillId="3" borderId="16" xfId="0" applyFont="1" applyFill="1" applyBorder="1" applyAlignment="1">
      <alignment horizontal="center" vertical="center" wrapText="1"/>
    </xf>
    <xf numFmtId="9" fontId="4" fillId="10" borderId="24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9" fontId="16" fillId="10" borderId="43" xfId="1" applyFont="1" applyFill="1" applyBorder="1" applyAlignment="1">
      <alignment horizontal="center" vertical="center" wrapText="1"/>
    </xf>
    <xf numFmtId="9" fontId="16" fillId="10" borderId="27" xfId="1" applyFont="1" applyFill="1" applyBorder="1" applyAlignment="1">
      <alignment horizontal="center" vertical="center" wrapText="1"/>
    </xf>
    <xf numFmtId="9" fontId="16" fillId="10" borderId="26" xfId="1" applyFont="1" applyFill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3" borderId="16" xfId="0" applyFont="1" applyFill="1" applyBorder="1" applyAlignment="1">
      <alignment horizontal="center" vertical="center" wrapText="1"/>
    </xf>
    <xf numFmtId="0" fontId="7" fillId="3" borderId="27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26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2" borderId="43" xfId="0" applyFill="1" applyBorder="1" applyAlignment="1">
      <alignment horizontal="center" vertical="center" wrapText="1"/>
    </xf>
    <xf numFmtId="0" fontId="0" fillId="2" borderId="27" xfId="0" applyFill="1" applyBorder="1" applyAlignment="1">
      <alignment horizontal="center" vertical="center" wrapText="1"/>
    </xf>
    <xf numFmtId="0" fontId="0" fillId="2" borderId="26" xfId="0" applyFill="1" applyBorder="1" applyAlignment="1">
      <alignment horizontal="center" vertical="center" wrapText="1"/>
    </xf>
    <xf numFmtId="0" fontId="7" fillId="2" borderId="38" xfId="0" applyFont="1" applyFill="1" applyBorder="1" applyAlignment="1">
      <alignment horizontal="center" vertical="center" wrapText="1"/>
    </xf>
    <xf numFmtId="0" fontId="7" fillId="2" borderId="58" xfId="0" applyFont="1" applyFill="1" applyBorder="1" applyAlignment="1">
      <alignment horizontal="center" vertical="center" wrapText="1"/>
    </xf>
    <xf numFmtId="0" fontId="0" fillId="3" borderId="53" xfId="0" applyFill="1" applyBorder="1" applyAlignment="1">
      <alignment horizontal="center" vertical="center" wrapText="1"/>
    </xf>
    <xf numFmtId="0" fontId="0" fillId="3" borderId="47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3" borderId="36" xfId="0" applyFill="1" applyBorder="1" applyAlignment="1">
      <alignment horizontal="center" vertical="center" wrapText="1"/>
    </xf>
    <xf numFmtId="0" fontId="0" fillId="3" borderId="59" xfId="0" applyFill="1" applyBorder="1" applyAlignment="1">
      <alignment horizontal="center" vertical="center" wrapText="1"/>
    </xf>
    <xf numFmtId="9" fontId="4" fillId="5" borderId="43" xfId="1" applyFont="1" applyFill="1" applyBorder="1" applyAlignment="1">
      <alignment horizontal="center" vertical="center" wrapText="1"/>
    </xf>
    <xf numFmtId="9" fontId="4" fillId="5" borderId="27" xfId="1" applyFont="1" applyFill="1" applyBorder="1" applyAlignment="1">
      <alignment horizontal="center" vertical="center" wrapText="1"/>
    </xf>
    <xf numFmtId="9" fontId="4" fillId="5" borderId="26" xfId="1" applyFont="1" applyFill="1" applyBorder="1" applyAlignment="1">
      <alignment horizontal="center" vertical="center" wrapText="1"/>
    </xf>
    <xf numFmtId="9" fontId="4" fillId="5" borderId="52" xfId="1" applyFont="1" applyFill="1" applyBorder="1" applyAlignment="1">
      <alignment horizontal="center" vertical="center" wrapText="1"/>
    </xf>
    <xf numFmtId="9" fontId="4" fillId="5" borderId="53" xfId="1" applyFont="1" applyFill="1" applyBorder="1" applyAlignment="1">
      <alignment horizontal="center" vertical="center" wrapText="1"/>
    </xf>
    <xf numFmtId="9" fontId="4" fillId="5" borderId="47" xfId="1" applyFont="1" applyFill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9" fontId="4" fillId="6" borderId="43" xfId="1" applyFont="1" applyFill="1" applyBorder="1" applyAlignment="1">
      <alignment horizontal="center" vertical="center" wrapText="1"/>
    </xf>
    <xf numFmtId="9" fontId="4" fillId="6" borderId="27" xfId="1" applyFont="1" applyFill="1" applyBorder="1" applyAlignment="1">
      <alignment horizontal="center" vertical="center" wrapText="1"/>
    </xf>
    <xf numFmtId="9" fontId="4" fillId="6" borderId="26" xfId="1" applyFont="1" applyFill="1" applyBorder="1" applyAlignment="1">
      <alignment horizontal="center" vertical="center" wrapText="1"/>
    </xf>
    <xf numFmtId="0" fontId="7" fillId="3" borderId="58" xfId="0" applyFont="1" applyFill="1" applyBorder="1" applyAlignment="1">
      <alignment horizontal="center" vertical="center" wrapText="1"/>
    </xf>
    <xf numFmtId="0" fontId="7" fillId="3" borderId="30" xfId="0" applyFont="1" applyFill="1" applyBorder="1" applyAlignment="1">
      <alignment horizontal="center" vertical="center" wrapText="1"/>
    </xf>
    <xf numFmtId="0" fontId="7" fillId="3" borderId="59" xfId="0" applyFont="1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0" fontId="0" fillId="2" borderId="53" xfId="0" applyFill="1" applyBorder="1" applyAlignment="1">
      <alignment horizontal="center" vertical="center" wrapText="1"/>
    </xf>
    <xf numFmtId="0" fontId="0" fillId="2" borderId="4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36" xfId="0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0" fillId="3" borderId="52" xfId="0" applyFill="1" applyBorder="1" applyAlignment="1">
      <alignment horizontal="center" vertical="center" wrapText="1"/>
    </xf>
    <xf numFmtId="9" fontId="4" fillId="6" borderId="52" xfId="1" applyFont="1" applyFill="1" applyBorder="1" applyAlignment="1">
      <alignment horizontal="center" vertical="center" wrapText="1"/>
    </xf>
    <xf numFmtId="9" fontId="4" fillId="6" borderId="53" xfId="1" applyFont="1" applyFill="1" applyBorder="1" applyAlignment="1">
      <alignment horizontal="center" vertical="center" wrapText="1"/>
    </xf>
    <xf numFmtId="9" fontId="4" fillId="6" borderId="47" xfId="1" applyFont="1" applyFill="1" applyBorder="1" applyAlignment="1">
      <alignment horizontal="center" vertical="center" wrapText="1"/>
    </xf>
    <xf numFmtId="9" fontId="4" fillId="6" borderId="58" xfId="1" applyFont="1" applyFill="1" applyBorder="1" applyAlignment="1">
      <alignment horizontal="center" vertical="center" wrapText="1"/>
    </xf>
    <xf numFmtId="9" fontId="4" fillId="6" borderId="30" xfId="1" applyFont="1" applyFill="1" applyBorder="1" applyAlignment="1">
      <alignment horizontal="center" vertical="center" wrapText="1"/>
    </xf>
    <xf numFmtId="9" fontId="4" fillId="6" borderId="59" xfId="1" applyFont="1" applyFill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readingOrder="1"/>
    </xf>
    <xf numFmtId="0" fontId="5" fillId="0" borderId="26" xfId="0" applyFont="1" applyBorder="1" applyAlignment="1">
      <alignment horizontal="center" vertical="center" readingOrder="1"/>
    </xf>
    <xf numFmtId="0" fontId="9" fillId="0" borderId="43" xfId="0" applyFont="1" applyBorder="1" applyAlignment="1">
      <alignment horizontal="center" vertical="center" readingOrder="1"/>
    </xf>
    <xf numFmtId="0" fontId="9" fillId="0" borderId="26" xfId="0" applyFont="1" applyBorder="1" applyAlignment="1">
      <alignment horizontal="center" vertical="center" readingOrder="1"/>
    </xf>
    <xf numFmtId="0" fontId="0" fillId="0" borderId="54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7" fillId="2" borderId="42" xfId="0" applyFont="1" applyFill="1" applyBorder="1" applyAlignment="1">
      <alignment horizontal="center" vertical="center" wrapText="1"/>
    </xf>
    <xf numFmtId="0" fontId="7" fillId="2" borderId="33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0" fontId="7" fillId="2" borderId="53" xfId="0" applyFont="1" applyFill="1" applyBorder="1" applyAlignment="1">
      <alignment horizontal="center" vertical="center" wrapText="1"/>
    </xf>
    <xf numFmtId="0" fontId="7" fillId="2" borderId="47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59" xfId="0" applyFont="1" applyFill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15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radarChart>
        <c:radarStyle val="marker"/>
        <c:varyColors val="0"/>
        <c:ser>
          <c:idx val="0"/>
          <c:order val="0"/>
          <c:tx>
            <c:v>CUMPLIMIENTO</c:v>
          </c:tx>
          <c:marker>
            <c:symbol val="none"/>
          </c:marker>
          <c:cat>
            <c:strRef>
              <c:f>'RESUMEN CONSOLIDADO'!$K$4:$K$10</c:f>
              <c:strCache>
                <c:ptCount val="7"/>
                <c:pt idx="0">
                  <c:v>4. CONTEXTO DE LA ORGANIZACIÓN</c:v>
                </c:pt>
                <c:pt idx="1">
                  <c:v>5. LIDERAZGO</c:v>
                </c:pt>
                <c:pt idx="2">
                  <c:v>6. PLANIFICACIÓN</c:v>
                </c:pt>
                <c:pt idx="3">
                  <c:v>7. APOYO</c:v>
                </c:pt>
                <c:pt idx="4">
                  <c:v>8.OPERACIÓN</c:v>
                </c:pt>
                <c:pt idx="5">
                  <c:v>9 EVALUACIÓN DEL DESEMPEÑO</c:v>
                </c:pt>
                <c:pt idx="6">
                  <c:v>10. MEJORA</c:v>
                </c:pt>
              </c:strCache>
            </c:strRef>
          </c:cat>
          <c:val>
            <c:numRef>
              <c:f>'RESUMEN CONSOLIDADO'!$L$4:$L$10</c:f>
              <c:numCache>
                <c:formatCode>0%</c:formatCode>
                <c:ptCount val="7"/>
                <c:pt idx="0">
                  <c:v>0.9375</c:v>
                </c:pt>
                <c:pt idx="1">
                  <c:v>0.87962962962962965</c:v>
                </c:pt>
                <c:pt idx="2">
                  <c:v>0.88411458333333337</c:v>
                </c:pt>
                <c:pt idx="3">
                  <c:v>0.91893939393939406</c:v>
                </c:pt>
                <c:pt idx="4">
                  <c:v>0.71875</c:v>
                </c:pt>
                <c:pt idx="5">
                  <c:v>0.94285714285714284</c:v>
                </c:pt>
                <c:pt idx="6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9C-4501-8660-B897F2DF1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82912"/>
        <c:axId val="69809280"/>
      </c:radarChart>
      <c:catAx>
        <c:axId val="69782912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crossAx val="69809280"/>
        <c:crosses val="autoZero"/>
        <c:auto val="0"/>
        <c:lblAlgn val="ctr"/>
        <c:lblOffset val="100"/>
        <c:noMultiLvlLbl val="0"/>
      </c:catAx>
      <c:valAx>
        <c:axId val="69809280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697829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ln w="38100">
      <a:solidFill>
        <a:srgbClr val="C00000"/>
      </a:solidFill>
    </a:ln>
  </c:sp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4. CONTEXTO DE LA ORGANIZACIÓN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CUMPLIMIENTO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strRef>
              <c:f>CONTEXTO!$S$2:$S$5</c:f>
              <c:strCache>
                <c:ptCount val="4"/>
                <c:pt idx="0">
                  <c:v>4.1 Comprensión de la organización y de su contexto</c:v>
                </c:pt>
                <c:pt idx="1">
                  <c:v>4.2 Comprensión de las necesidades y expectativas de las partes interesadas</c:v>
                </c:pt>
                <c:pt idx="2">
                  <c:v>4.3 Determinación del alcance del sistema de gestión ambiental</c:v>
                </c:pt>
                <c:pt idx="3">
                  <c:v>4.4 Sistema de Gestión Ambiental</c:v>
                </c:pt>
              </c:strCache>
            </c:strRef>
          </c:cat>
          <c:val>
            <c:numRef>
              <c:f>CONTEXTO!$T$2:$T$5</c:f>
              <c:numCache>
                <c:formatCode>0%</c:formatCode>
                <c:ptCount val="4"/>
                <c:pt idx="0">
                  <c:v>0.75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C-4DBF-8FC4-9331F62AA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94048"/>
        <c:axId val="71395584"/>
      </c:radarChart>
      <c:catAx>
        <c:axId val="7139404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71395584"/>
        <c:crosses val="autoZero"/>
        <c:auto val="0"/>
        <c:lblAlgn val="ctr"/>
        <c:lblOffset val="100"/>
        <c:noMultiLvlLbl val="0"/>
      </c:catAx>
      <c:valAx>
        <c:axId val="71395584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71394048"/>
        <c:crosses val="autoZero"/>
        <c:crossBetween val="between"/>
      </c:valAx>
    </c:plotArea>
    <c:plotVisOnly val="1"/>
    <c:dispBlanksAs val="gap"/>
    <c:showDLblsOverMax val="0"/>
  </c:chart>
  <c:spPr>
    <a:ln w="38100">
      <a:solidFill>
        <a:srgbClr val="C00000"/>
      </a:solidFill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 sz="1800"/>
            </a:pPr>
            <a:r>
              <a:rPr lang="en-US" sz="1800" b="1"/>
              <a:t>5. LIDERAZGO</a:t>
            </a:r>
          </a:p>
        </c:rich>
      </c:tx>
      <c:layout>
        <c:manualLayout>
          <c:xMode val="edge"/>
          <c:yMode val="edge"/>
          <c:x val="0.42702708333333333"/>
          <c:y val="3.218462962962961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7043634259259258"/>
          <c:y val="0.40015378179384203"/>
          <c:w val="0.48898437500000003"/>
          <c:h val="0.3189139892904953"/>
        </c:manualLayout>
      </c:layout>
      <c:radarChart>
        <c:radarStyle val="marker"/>
        <c:varyColors val="0"/>
        <c:ser>
          <c:idx val="0"/>
          <c:order val="0"/>
          <c:tx>
            <c:v>CUMPLIMIENTO</c:v>
          </c:tx>
          <c:spPr>
            <a:ln w="38100">
              <a:solidFill>
                <a:srgbClr val="C00000"/>
              </a:solidFill>
            </a:ln>
          </c:spPr>
          <c:marker>
            <c:spPr>
              <a:ln w="38100">
                <a:solidFill>
                  <a:srgbClr val="C00000"/>
                </a:solidFill>
              </a:ln>
            </c:spPr>
          </c:marker>
          <c:cat>
            <c:strRef>
              <c:f>LIDERAZGO!$S$4:$S$6</c:f>
              <c:strCache>
                <c:ptCount val="3"/>
                <c:pt idx="0">
                  <c:v>5.1 Liderazgo y compromiso</c:v>
                </c:pt>
                <c:pt idx="1">
                  <c:v>5.2 Política Ambiental</c:v>
                </c:pt>
                <c:pt idx="2">
                  <c:v>5.3. Roles, responsabilidades y autoridades en la organización</c:v>
                </c:pt>
              </c:strCache>
            </c:strRef>
          </c:cat>
          <c:val>
            <c:numRef>
              <c:f>LIDERAZGO!$T$4:$T$6</c:f>
              <c:numCache>
                <c:formatCode>0%</c:formatCode>
                <c:ptCount val="3"/>
                <c:pt idx="0">
                  <c:v>0.88888888888888884</c:v>
                </c:pt>
                <c:pt idx="1">
                  <c:v>1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2B-480E-B054-F271CD576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44736"/>
        <c:axId val="71471488"/>
      </c:radarChart>
      <c:catAx>
        <c:axId val="714447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71471488"/>
        <c:crosses val="autoZero"/>
        <c:auto val="0"/>
        <c:lblAlgn val="ctr"/>
        <c:lblOffset val="100"/>
        <c:noMultiLvlLbl val="0"/>
      </c:catAx>
      <c:valAx>
        <c:axId val="71471488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71444736"/>
        <c:crosses val="autoZero"/>
        <c:crossBetween val="between"/>
      </c:valAx>
    </c:plotArea>
    <c:plotVisOnly val="1"/>
    <c:dispBlanksAs val="gap"/>
    <c:showDLblsOverMax val="0"/>
  </c:chart>
  <c:spPr>
    <a:ln w="28575">
      <a:solidFill>
        <a:srgbClr val="C00000"/>
      </a:solidFill>
    </a:ln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6.</a:t>
            </a:r>
            <a:r>
              <a:rPr lang="en-US" baseline="0"/>
              <a:t> PLANIFICACIÓN</a:t>
            </a:r>
            <a:endParaRPr lang="en-US"/>
          </a:p>
        </c:rich>
      </c:tx>
      <c:layout>
        <c:manualLayout>
          <c:xMode val="edge"/>
          <c:yMode val="edge"/>
          <c:x val="0.38076541666666669"/>
          <c:y val="3.511611111111111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411911032062763"/>
          <c:y val="0.17667392518103137"/>
          <c:w val="0.60295078885726983"/>
          <c:h val="0.66015172805487954"/>
        </c:manualLayout>
      </c:layout>
      <c:radarChart>
        <c:radarStyle val="marker"/>
        <c:varyColors val="0"/>
        <c:ser>
          <c:idx val="0"/>
          <c:order val="0"/>
          <c:tx>
            <c:v>CUMPLIMIENTO</c:v>
          </c:tx>
          <c:spPr>
            <a:ln w="38100">
              <a:solidFill>
                <a:srgbClr val="C00000"/>
              </a:solidFill>
            </a:ln>
          </c:spPr>
          <c:marker>
            <c:spPr>
              <a:ln w="38100">
                <a:solidFill>
                  <a:srgbClr val="C00000"/>
                </a:solidFill>
              </a:ln>
            </c:spPr>
          </c:marker>
          <c:cat>
            <c:strRef>
              <c:f>(PLANIFICACIÓN!$X$6:$X$9,PLANIFICACIÓN!$X$11:$X$12)</c:f>
              <c:strCache>
                <c:ptCount val="6"/>
                <c:pt idx="0">
                  <c:v>6.1.1 Generalidades  </c:v>
                </c:pt>
                <c:pt idx="1">
                  <c:v>6.1.2 Aspectos ambientales</c:v>
                </c:pt>
                <c:pt idx="2">
                  <c:v>6.1.3 Requisitos legales y otros requisitos</c:v>
                </c:pt>
                <c:pt idx="3">
                  <c:v>6.1.4 Planificación de acciones</c:v>
                </c:pt>
                <c:pt idx="4">
                  <c:v>6.2.1 Objetivos ambientales</c:v>
                </c:pt>
                <c:pt idx="5">
                  <c:v>6.2.2 Planificación de acciones para lograr los objetivos ambientales</c:v>
                </c:pt>
              </c:strCache>
            </c:strRef>
          </c:cat>
          <c:val>
            <c:numRef>
              <c:f>(PLANIFICACIÓN!$Y$6:$Y$9,PLANIFICACIÓN!$Y$11:$Y$12)</c:f>
              <c:numCache>
                <c:formatCode>0%</c:formatCode>
                <c:ptCount val="6"/>
                <c:pt idx="0">
                  <c:v>0.875</c:v>
                </c:pt>
                <c:pt idx="1">
                  <c:v>0.91666666666666663</c:v>
                </c:pt>
                <c:pt idx="2">
                  <c:v>1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D9-483D-B7AA-58AA2BCF9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44736"/>
        <c:axId val="71471488"/>
      </c:radarChart>
      <c:catAx>
        <c:axId val="714447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s-CO"/>
          </a:p>
        </c:txPr>
        <c:crossAx val="71471488"/>
        <c:crosses val="autoZero"/>
        <c:auto val="0"/>
        <c:lblAlgn val="ctr"/>
        <c:lblOffset val="100"/>
        <c:noMultiLvlLbl val="0"/>
      </c:catAx>
      <c:valAx>
        <c:axId val="71471488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71444736"/>
        <c:crosses val="autoZero"/>
        <c:crossBetween val="between"/>
      </c:valAx>
    </c:plotArea>
    <c:plotVisOnly val="1"/>
    <c:dispBlanksAs val="gap"/>
    <c:showDLblsOverMax val="0"/>
  </c:chart>
  <c:spPr>
    <a:ln w="28575">
      <a:solidFill>
        <a:srgbClr val="C00000"/>
      </a:solidFill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7.</a:t>
            </a:r>
            <a:r>
              <a:rPr lang="en-US" baseline="0"/>
              <a:t> APOYO</a:t>
            </a:r>
            <a:endParaRPr lang="en-US"/>
          </a:p>
        </c:rich>
      </c:tx>
      <c:layout>
        <c:manualLayout>
          <c:xMode val="edge"/>
          <c:yMode val="edge"/>
          <c:x val="0.416971998293096"/>
          <c:y val="5.1700013620091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94489480738925"/>
          <c:y val="0.2775396497252674"/>
          <c:w val="0.52779307304045353"/>
          <c:h val="0.50838227784712675"/>
        </c:manualLayout>
      </c:layout>
      <c:radarChart>
        <c:radarStyle val="marker"/>
        <c:varyColors val="0"/>
        <c:ser>
          <c:idx val="0"/>
          <c:order val="0"/>
          <c:tx>
            <c:v>CUMPLIMIENTO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strRef>
              <c:f>(APOYO!$V$2,APOYO!$V$3,APOYO!$V$4,APOYO!$V$5,APOYO!$V$9)</c:f>
              <c:strCache>
                <c:ptCount val="5"/>
                <c:pt idx="0">
                  <c:v>7.1 Recursos</c:v>
                </c:pt>
                <c:pt idx="1">
                  <c:v>7.2 Competensia</c:v>
                </c:pt>
                <c:pt idx="2">
                  <c:v>7.3 Toma de conciencia</c:v>
                </c:pt>
                <c:pt idx="3">
                  <c:v>7.4 Comunicación</c:v>
                </c:pt>
                <c:pt idx="4">
                  <c:v>7.5 INFORMACIÓN DOCUMENTADA</c:v>
                </c:pt>
              </c:strCache>
            </c:strRef>
          </c:cat>
          <c:val>
            <c:numRef>
              <c:f>(APOYO!$W$2,APOYO!$W$3,APOYO!$W$4,APOYO!$W$5,APOYO!$W$9)</c:f>
              <c:numCache>
                <c:formatCode>0%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0.875</c:v>
                </c:pt>
                <c:pt idx="3">
                  <c:v>0.83333333333333337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E0-40FF-936F-8E4EC89CF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94048"/>
        <c:axId val="71395584"/>
      </c:radarChart>
      <c:catAx>
        <c:axId val="7139404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s-CO"/>
          </a:p>
        </c:txPr>
        <c:crossAx val="71395584"/>
        <c:crosses val="autoZero"/>
        <c:auto val="0"/>
        <c:lblAlgn val="ctr"/>
        <c:lblOffset val="100"/>
        <c:noMultiLvlLbl val="0"/>
      </c:catAx>
      <c:valAx>
        <c:axId val="71395584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71394048"/>
        <c:crosses val="autoZero"/>
        <c:crossBetween val="between"/>
      </c:valAx>
    </c:plotArea>
    <c:plotVisOnly val="1"/>
    <c:dispBlanksAs val="gap"/>
    <c:showDLblsOverMax val="0"/>
  </c:chart>
  <c:spPr>
    <a:ln w="38100">
      <a:solidFill>
        <a:srgbClr val="C00000"/>
      </a:solidFill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8.OPERACIÓN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CUMPLIMIENTO</c:v>
          </c:tx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OPERACIÓN!$S$3:$S$4</c:f>
              <c:strCache>
                <c:ptCount val="2"/>
                <c:pt idx="0">
                  <c:v>8.1 Planificación y control operacional  </c:v>
                </c:pt>
                <c:pt idx="1">
                  <c:v>8.2 Preparación y respuesta ante emergencia</c:v>
                </c:pt>
              </c:strCache>
            </c:strRef>
          </c:cat>
          <c:val>
            <c:numRef>
              <c:f>OPERACIÓN!$T$3:$T$4</c:f>
              <c:numCache>
                <c:formatCode>0%</c:formatCode>
                <c:ptCount val="2"/>
                <c:pt idx="0">
                  <c:v>0.8125</c:v>
                </c:pt>
                <c:pt idx="1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F-40AC-9A4E-F5AADCB0A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44608"/>
        <c:axId val="71846144"/>
      </c:radarChart>
      <c:catAx>
        <c:axId val="718446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71846144"/>
        <c:crosses val="autoZero"/>
        <c:auto val="0"/>
        <c:lblAlgn val="ctr"/>
        <c:lblOffset val="100"/>
        <c:noMultiLvlLbl val="0"/>
      </c:catAx>
      <c:valAx>
        <c:axId val="71846144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71844608"/>
        <c:crosses val="autoZero"/>
        <c:crossBetween val="between"/>
      </c:valAx>
    </c:plotArea>
    <c:plotVisOnly val="1"/>
    <c:dispBlanksAs val="gap"/>
    <c:showDLblsOverMax val="0"/>
  </c:chart>
  <c:spPr>
    <a:ln w="38100">
      <a:solidFill>
        <a:srgbClr val="C00000"/>
      </a:solidFill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es-CO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/>
              <a:t>9. EVALUACIÓN DEL DESEMPEÑO</a:t>
            </a:r>
          </a:p>
        </c:rich>
      </c:tx>
      <c:layout>
        <c:manualLayout>
          <c:xMode val="edge"/>
          <c:yMode val="edge"/>
          <c:x val="0.2974040277777778"/>
          <c:y val="3.957370370370370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872268736604172"/>
          <c:y val="0.27985435181752971"/>
          <c:w val="0.51336382548360004"/>
          <c:h val="0.56162158180370703"/>
        </c:manualLayout>
      </c:layout>
      <c:radarChart>
        <c:radarStyle val="marker"/>
        <c:varyColors val="0"/>
        <c:ser>
          <c:idx val="0"/>
          <c:order val="0"/>
          <c:tx>
            <c:v>CUMPLIMIENTO</c:v>
          </c:tx>
          <c:marker>
            <c:symbol val="none"/>
          </c:marker>
          <c:cat>
            <c:strRef>
              <c:f>('EVALUACIÓN DEL DESEMPEÑO'!$S$2,'EVALUACIÓN DEL DESEMPEÑO'!$S$5,'EVALUACIÓN DEL DESEMPEÑO'!$S$8)</c:f>
              <c:strCache>
                <c:ptCount val="3"/>
                <c:pt idx="0">
                  <c:v>9.1 Seguimiento, medición, análisis y evaluación  </c:v>
                </c:pt>
                <c:pt idx="1">
                  <c:v>9.2 Auditoría interna</c:v>
                </c:pt>
                <c:pt idx="2">
                  <c:v>9.3 Revisión por la dirección</c:v>
                </c:pt>
              </c:strCache>
            </c:strRef>
          </c:cat>
          <c:val>
            <c:numRef>
              <c:f>('EVALUACIÓN DEL DESEMPEÑO'!$T$2,'EVALUACIÓN DEL DESEMPEÑO'!$T$5,'EVALUACIÓN DEL DESEMPEÑO'!$T$8)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BE-44A3-AB01-E7187B879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28448"/>
        <c:axId val="71930240"/>
      </c:radarChart>
      <c:catAx>
        <c:axId val="7192844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71930240"/>
        <c:crosses val="autoZero"/>
        <c:auto val="0"/>
        <c:lblAlgn val="ctr"/>
        <c:lblOffset val="100"/>
        <c:noMultiLvlLbl val="0"/>
      </c:catAx>
      <c:valAx>
        <c:axId val="71930240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71928448"/>
        <c:crosses val="autoZero"/>
        <c:crossBetween val="between"/>
      </c:valAx>
    </c:plotArea>
    <c:plotVisOnly val="1"/>
    <c:dispBlanksAs val="gap"/>
    <c:showDLblsOverMax val="0"/>
  </c:chart>
  <c:spPr>
    <a:ln w="38100">
      <a:solidFill>
        <a:srgbClr val="C00000"/>
      </a:solidFill>
    </a:ln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2000" b="1"/>
              <a:t>10. MEJORA</a:t>
            </a:r>
          </a:p>
        </c:rich>
      </c:tx>
      <c:layout>
        <c:manualLayout>
          <c:xMode val="edge"/>
          <c:yMode val="edge"/>
          <c:x val="0.40572888888888886"/>
          <c:y val="2.587037037037037E-2"/>
        </c:manualLayout>
      </c:layout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CUMPLIMIENTO</c:v>
          </c:tx>
          <c:marker>
            <c:symbol val="none"/>
          </c:marker>
          <c:cat>
            <c:strRef>
              <c:f>MEJORA!$P$4:$P$6</c:f>
              <c:strCache>
                <c:ptCount val="3"/>
                <c:pt idx="0">
                  <c:v>10.1 Generalidades</c:v>
                </c:pt>
                <c:pt idx="1">
                  <c:v>10.2 No conformidad y acción correctiva</c:v>
                </c:pt>
                <c:pt idx="2">
                  <c:v>10.3 Mejora continua</c:v>
                </c:pt>
              </c:strCache>
            </c:strRef>
          </c:cat>
          <c:val>
            <c:numRef>
              <c:f>MEJORA!$Q$4:$Q$6</c:f>
              <c:numCache>
                <c:formatCode>0%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D4-4ED7-9B69-8926716D4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99968"/>
        <c:axId val="72501504"/>
      </c:radarChart>
      <c:catAx>
        <c:axId val="724999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72501504"/>
        <c:crosses val="autoZero"/>
        <c:auto val="0"/>
        <c:lblAlgn val="ctr"/>
        <c:lblOffset val="100"/>
        <c:noMultiLvlLbl val="0"/>
      </c:catAx>
      <c:valAx>
        <c:axId val="72501504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72499968"/>
        <c:crosses val="autoZero"/>
        <c:crossBetween val="between"/>
      </c:valAx>
    </c:plotArea>
    <c:plotVisOnly val="1"/>
    <c:dispBlanksAs val="gap"/>
    <c:showDLblsOverMax val="0"/>
  </c:chart>
  <c:spPr>
    <a:ln w="38100">
      <a:solidFill>
        <a:srgbClr val="C00000"/>
      </a:solidFill>
    </a:ln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4. CONTEXTO DE LA ORGANIZACIÓN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CUMPLIMIENTO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strRef>
              <c:f>CONTEXTO!$S$2:$S$5</c:f>
              <c:strCache>
                <c:ptCount val="4"/>
                <c:pt idx="0">
                  <c:v>4.1 Comprensión de la organización y de su contexto</c:v>
                </c:pt>
                <c:pt idx="1">
                  <c:v>4.2 Comprensión de las necesidades y expectativas de las partes interesadas</c:v>
                </c:pt>
                <c:pt idx="2">
                  <c:v>4.3 Determinación del alcance del sistema de gestión ambiental</c:v>
                </c:pt>
                <c:pt idx="3">
                  <c:v>4.4 Sistema de Gestión Ambiental</c:v>
                </c:pt>
              </c:strCache>
            </c:strRef>
          </c:cat>
          <c:val>
            <c:numRef>
              <c:f>CONTEXTO!$T$2:$T$5</c:f>
              <c:numCache>
                <c:formatCode>0%</c:formatCode>
                <c:ptCount val="4"/>
                <c:pt idx="0">
                  <c:v>0.75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DE-4C17-997C-17923C3AA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94048"/>
        <c:axId val="71395584"/>
      </c:radarChart>
      <c:catAx>
        <c:axId val="7139404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71395584"/>
        <c:crosses val="autoZero"/>
        <c:auto val="0"/>
        <c:lblAlgn val="ctr"/>
        <c:lblOffset val="100"/>
        <c:noMultiLvlLbl val="0"/>
      </c:catAx>
      <c:valAx>
        <c:axId val="71395584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71394048"/>
        <c:crosses val="autoZero"/>
        <c:crossBetween val="between"/>
      </c:valAx>
    </c:plotArea>
    <c:plotVisOnly val="1"/>
    <c:dispBlanksAs val="gap"/>
    <c:showDLblsOverMax val="0"/>
  </c:chart>
  <c:spPr>
    <a:ln w="38100">
      <a:solidFill>
        <a:srgbClr val="C00000"/>
      </a:solidFill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5. LIDERAZGO</a:t>
            </a:r>
          </a:p>
        </c:rich>
      </c:tx>
      <c:layout>
        <c:manualLayout>
          <c:xMode val="edge"/>
          <c:yMode val="edge"/>
          <c:x val="0.40762433426524947"/>
          <c:y val="0.1074438535153053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7043634259259258"/>
          <c:y val="0.40015378179384203"/>
          <c:w val="0.48898437500000003"/>
          <c:h val="0.3189139892904953"/>
        </c:manualLayout>
      </c:layout>
      <c:radarChart>
        <c:radarStyle val="marker"/>
        <c:varyColors val="0"/>
        <c:ser>
          <c:idx val="0"/>
          <c:order val="0"/>
          <c:tx>
            <c:v>CUMPLIMIENTO</c:v>
          </c:tx>
          <c:spPr>
            <a:ln w="38100">
              <a:solidFill>
                <a:srgbClr val="C00000"/>
              </a:solidFill>
            </a:ln>
          </c:spPr>
          <c:marker>
            <c:spPr>
              <a:ln w="38100">
                <a:solidFill>
                  <a:srgbClr val="C00000"/>
                </a:solidFill>
              </a:ln>
            </c:spPr>
          </c:marker>
          <c:cat>
            <c:strRef>
              <c:f>LIDERAZGO!$S$4:$S$6</c:f>
              <c:strCache>
                <c:ptCount val="3"/>
                <c:pt idx="0">
                  <c:v>5.1 Liderazgo y compromiso</c:v>
                </c:pt>
                <c:pt idx="1">
                  <c:v>5.2 Política Ambiental</c:v>
                </c:pt>
                <c:pt idx="2">
                  <c:v>5.3. Roles, responsabilidades y autoridades en la organización</c:v>
                </c:pt>
              </c:strCache>
            </c:strRef>
          </c:cat>
          <c:val>
            <c:numRef>
              <c:f>LIDERAZGO!$T$4:$T$6</c:f>
              <c:numCache>
                <c:formatCode>0%</c:formatCode>
                <c:ptCount val="3"/>
                <c:pt idx="0">
                  <c:v>0.88888888888888884</c:v>
                </c:pt>
                <c:pt idx="1">
                  <c:v>1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EC-4EC1-B072-8800742FD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44736"/>
        <c:axId val="71471488"/>
      </c:radarChart>
      <c:catAx>
        <c:axId val="714447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71471488"/>
        <c:crosses val="autoZero"/>
        <c:auto val="0"/>
        <c:lblAlgn val="ctr"/>
        <c:lblOffset val="100"/>
        <c:noMultiLvlLbl val="0"/>
      </c:catAx>
      <c:valAx>
        <c:axId val="71471488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71444736"/>
        <c:crosses val="autoZero"/>
        <c:crossBetween val="between"/>
      </c:valAx>
    </c:plotArea>
    <c:plotVisOnly val="1"/>
    <c:dispBlanksAs val="gap"/>
    <c:showDLblsOverMax val="0"/>
  </c:chart>
  <c:spPr>
    <a:ln w="28575">
      <a:solidFill>
        <a:srgbClr val="C00000"/>
      </a:solidFill>
    </a:ln>
  </c:spPr>
  <c:txPr>
    <a:bodyPr/>
    <a:lstStyle/>
    <a:p>
      <a:pPr algn="ctr"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6.</a:t>
            </a:r>
            <a:r>
              <a:rPr lang="en-US" baseline="0"/>
              <a:t> PLANIFICACIÓN</a:t>
            </a:r>
            <a:endParaRPr lang="en-US"/>
          </a:p>
        </c:rich>
      </c:tx>
      <c:layout>
        <c:manualLayout>
          <c:xMode val="edge"/>
          <c:yMode val="edge"/>
          <c:x val="0.37370981360744843"/>
          <c:y val="5.628276254279782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0411911032062763"/>
          <c:y val="0.17667392518103137"/>
          <c:w val="0.60295078885726983"/>
          <c:h val="0.66015172805487954"/>
        </c:manualLayout>
      </c:layout>
      <c:radarChart>
        <c:radarStyle val="marker"/>
        <c:varyColors val="0"/>
        <c:ser>
          <c:idx val="0"/>
          <c:order val="0"/>
          <c:tx>
            <c:v>CUMPLIMIENTO</c:v>
          </c:tx>
          <c:spPr>
            <a:ln w="38100">
              <a:solidFill>
                <a:srgbClr val="C00000"/>
              </a:solidFill>
            </a:ln>
          </c:spPr>
          <c:marker>
            <c:spPr>
              <a:ln w="38100">
                <a:solidFill>
                  <a:srgbClr val="C00000"/>
                </a:solidFill>
              </a:ln>
            </c:spPr>
          </c:marker>
          <c:cat>
            <c:strRef>
              <c:f>(PLANIFICACIÓN!$X$6:$X$9,PLANIFICACIÓN!$X$11:$X$12)</c:f>
              <c:strCache>
                <c:ptCount val="6"/>
                <c:pt idx="0">
                  <c:v>6.1.1 Generalidades  </c:v>
                </c:pt>
                <c:pt idx="1">
                  <c:v>6.1.2 Aspectos ambientales</c:v>
                </c:pt>
                <c:pt idx="2">
                  <c:v>6.1.3 Requisitos legales y otros requisitos</c:v>
                </c:pt>
                <c:pt idx="3">
                  <c:v>6.1.4 Planificación de acciones</c:v>
                </c:pt>
                <c:pt idx="4">
                  <c:v>6.2.1 Objetivos ambientales</c:v>
                </c:pt>
                <c:pt idx="5">
                  <c:v>6.2.2 Planificación de acciones para lograr los objetivos ambientales</c:v>
                </c:pt>
              </c:strCache>
            </c:strRef>
          </c:cat>
          <c:val>
            <c:numRef>
              <c:f>(PLANIFICACIÓN!$Y$6:$Y$9,PLANIFICACIÓN!$Y$11:$Y$12)</c:f>
              <c:numCache>
                <c:formatCode>0%</c:formatCode>
                <c:ptCount val="6"/>
                <c:pt idx="0">
                  <c:v>0.875</c:v>
                </c:pt>
                <c:pt idx="1">
                  <c:v>0.91666666666666663</c:v>
                </c:pt>
                <c:pt idx="2">
                  <c:v>1</c:v>
                </c:pt>
                <c:pt idx="3">
                  <c:v>0.66666666666666663</c:v>
                </c:pt>
                <c:pt idx="4">
                  <c:v>0.83333333333333337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31-48CD-A358-F120BE73D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44736"/>
        <c:axId val="71471488"/>
      </c:radarChart>
      <c:catAx>
        <c:axId val="714447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s-CO"/>
          </a:p>
        </c:txPr>
        <c:crossAx val="71471488"/>
        <c:crosses val="autoZero"/>
        <c:auto val="0"/>
        <c:lblAlgn val="ctr"/>
        <c:lblOffset val="100"/>
        <c:noMultiLvlLbl val="0"/>
      </c:catAx>
      <c:valAx>
        <c:axId val="71471488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71444736"/>
        <c:crosses val="autoZero"/>
        <c:crossBetween val="between"/>
      </c:valAx>
    </c:plotArea>
    <c:plotVisOnly val="1"/>
    <c:dispBlanksAs val="gap"/>
    <c:showDLblsOverMax val="0"/>
  </c:chart>
  <c:spPr>
    <a:ln w="28575">
      <a:solidFill>
        <a:srgbClr val="C00000"/>
      </a:solidFill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7.</a:t>
            </a:r>
            <a:r>
              <a:rPr lang="en-US" baseline="0"/>
              <a:t> APOYO</a:t>
            </a:r>
            <a:endParaRPr lang="en-US"/>
          </a:p>
        </c:rich>
      </c:tx>
      <c:layout>
        <c:manualLayout>
          <c:xMode val="edge"/>
          <c:yMode val="edge"/>
          <c:x val="0.416971998293096"/>
          <c:y val="5.1700013620091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94489480738925"/>
          <c:y val="0.2775396497252674"/>
          <c:w val="0.52779307304045353"/>
          <c:h val="0.50838227784712675"/>
        </c:manualLayout>
      </c:layout>
      <c:radarChart>
        <c:radarStyle val="marker"/>
        <c:varyColors val="0"/>
        <c:ser>
          <c:idx val="0"/>
          <c:order val="0"/>
          <c:tx>
            <c:v>CUMPLIMIENTO</c:v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strRef>
              <c:f>(APOYO!$V$2,APOYO!$V$3,APOYO!$V$4,APOYO!$V$5,APOYO!$V$9)</c:f>
              <c:strCache>
                <c:ptCount val="5"/>
                <c:pt idx="0">
                  <c:v>7.1 Recursos</c:v>
                </c:pt>
                <c:pt idx="1">
                  <c:v>7.2 Competensia</c:v>
                </c:pt>
                <c:pt idx="2">
                  <c:v>7.3 Toma de conciencia</c:v>
                </c:pt>
                <c:pt idx="3">
                  <c:v>7.4 Comunicación</c:v>
                </c:pt>
                <c:pt idx="4">
                  <c:v>7.5 INFORMACIÓN DOCUMENTADA</c:v>
                </c:pt>
              </c:strCache>
            </c:strRef>
          </c:cat>
          <c:val>
            <c:numRef>
              <c:f>(APOYO!$W$2,APOYO!$W$3,APOYO!$W$4,APOYO!$W$5,APOYO!$W$9)</c:f>
              <c:numCache>
                <c:formatCode>0%</c:formatCode>
                <c:ptCount val="5"/>
                <c:pt idx="0">
                  <c:v>1</c:v>
                </c:pt>
                <c:pt idx="1">
                  <c:v>0.9</c:v>
                </c:pt>
                <c:pt idx="2">
                  <c:v>0.875</c:v>
                </c:pt>
                <c:pt idx="3">
                  <c:v>0.83333333333333337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34-42B7-BC83-2DD40DE9E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394048"/>
        <c:axId val="71395584"/>
      </c:radarChart>
      <c:catAx>
        <c:axId val="7139404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s-CO"/>
          </a:p>
        </c:txPr>
        <c:crossAx val="71395584"/>
        <c:crosses val="autoZero"/>
        <c:auto val="0"/>
        <c:lblAlgn val="ctr"/>
        <c:lblOffset val="100"/>
        <c:noMultiLvlLbl val="0"/>
      </c:catAx>
      <c:valAx>
        <c:axId val="71395584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71394048"/>
        <c:crosses val="autoZero"/>
        <c:crossBetween val="between"/>
      </c:valAx>
    </c:plotArea>
    <c:plotVisOnly val="1"/>
    <c:dispBlanksAs val="gap"/>
    <c:showDLblsOverMax val="0"/>
  </c:chart>
  <c:spPr>
    <a:ln w="38100">
      <a:solidFill>
        <a:srgbClr val="C00000"/>
      </a:solidFill>
    </a:ln>
  </c:spPr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8.OPERACIÓN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CUMPLIMIENTO</c:v>
          </c:tx>
          <c:spPr>
            <a:ln w="38100">
              <a:solidFill>
                <a:srgbClr val="C00000"/>
              </a:solidFill>
            </a:ln>
          </c:spPr>
          <c:marker>
            <c:symbol val="none"/>
          </c:marker>
          <c:cat>
            <c:strRef>
              <c:f>OPERACIÓN!$S$3:$S$4</c:f>
              <c:strCache>
                <c:ptCount val="2"/>
                <c:pt idx="0">
                  <c:v>8.1 Planificación y control operacional  </c:v>
                </c:pt>
                <c:pt idx="1">
                  <c:v>8.2 Preparación y respuesta ante emergencia</c:v>
                </c:pt>
              </c:strCache>
            </c:strRef>
          </c:cat>
          <c:val>
            <c:numRef>
              <c:f>OPERACIÓN!$T$3:$T$4</c:f>
              <c:numCache>
                <c:formatCode>0%</c:formatCode>
                <c:ptCount val="2"/>
                <c:pt idx="0">
                  <c:v>0.8125</c:v>
                </c:pt>
                <c:pt idx="1">
                  <c:v>0.625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F2-474D-A933-CCEE54D9F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44608"/>
        <c:axId val="71846144"/>
      </c:radarChart>
      <c:catAx>
        <c:axId val="7184460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71846144"/>
        <c:crosses val="autoZero"/>
        <c:auto val="0"/>
        <c:lblAlgn val="ctr"/>
        <c:lblOffset val="100"/>
        <c:noMultiLvlLbl val="0"/>
      </c:catAx>
      <c:valAx>
        <c:axId val="71846144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71844608"/>
        <c:crosses val="autoZero"/>
        <c:crossBetween val="between"/>
      </c:valAx>
    </c:plotArea>
    <c:plotVisOnly val="1"/>
    <c:dispBlanksAs val="gap"/>
    <c:showDLblsOverMax val="0"/>
  </c:chart>
  <c:spPr>
    <a:ln w="38100">
      <a:solidFill>
        <a:srgbClr val="C00000"/>
      </a:solidFill>
    </a:ln>
  </c:spPr>
  <c:txPr>
    <a:bodyPr/>
    <a:lstStyle/>
    <a:p>
      <a:pPr>
        <a:defRPr sz="1200">
          <a:latin typeface="Arial" pitchFamily="34" charset="0"/>
          <a:cs typeface="Arial" pitchFamily="34" charset="0"/>
        </a:defRPr>
      </a:pPr>
      <a:endParaRPr lang="es-CO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9 EVALUACIÓN DEL DESEMPEÑO</a:t>
            </a:r>
          </a:p>
        </c:rich>
      </c:tx>
      <c:layout>
        <c:manualLayout>
          <c:xMode val="edge"/>
          <c:yMode val="edge"/>
          <c:x val="0.23566789421426301"/>
          <c:y val="3.251814102591878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4872268736604172"/>
          <c:y val="0.27985435181752971"/>
          <c:w val="0.51336382548360004"/>
          <c:h val="0.56162158180370703"/>
        </c:manualLayout>
      </c:layout>
      <c:radarChart>
        <c:radarStyle val="marker"/>
        <c:varyColors val="0"/>
        <c:ser>
          <c:idx val="0"/>
          <c:order val="0"/>
          <c:tx>
            <c:v>CUMPLIMIENTO</c:v>
          </c:tx>
          <c:marker>
            <c:symbol val="none"/>
          </c:marker>
          <c:cat>
            <c:strRef>
              <c:f>('EVALUACIÓN DEL DESEMPEÑO'!$S$2,'EVALUACIÓN DEL DESEMPEÑO'!$S$5,'EVALUACIÓN DEL DESEMPEÑO'!$S$8)</c:f>
              <c:strCache>
                <c:ptCount val="3"/>
                <c:pt idx="0">
                  <c:v>9.1 Seguimiento, medición, análisis y evaluación  </c:v>
                </c:pt>
                <c:pt idx="1">
                  <c:v>9.2 Auditoría interna</c:v>
                </c:pt>
                <c:pt idx="2">
                  <c:v>9.3 Revisión por la dirección</c:v>
                </c:pt>
              </c:strCache>
            </c:strRef>
          </c:cat>
          <c:val>
            <c:numRef>
              <c:f>('EVALUACIÓN DEL DESEMPEÑO'!$T$2,'EVALUACIÓN DEL DESEMPEÑO'!$T$5,'EVALUACIÓN DEL DESEMPEÑO'!$T$8)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9-46B1-8773-29492D1A42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928448"/>
        <c:axId val="71930240"/>
      </c:radarChart>
      <c:catAx>
        <c:axId val="7192844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71930240"/>
        <c:crosses val="autoZero"/>
        <c:auto val="0"/>
        <c:lblAlgn val="ctr"/>
        <c:lblOffset val="100"/>
        <c:noMultiLvlLbl val="0"/>
      </c:catAx>
      <c:valAx>
        <c:axId val="71930240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71928448"/>
        <c:crosses val="autoZero"/>
        <c:crossBetween val="between"/>
      </c:valAx>
    </c:plotArea>
    <c:plotVisOnly val="1"/>
    <c:dispBlanksAs val="gap"/>
    <c:showDLblsOverMax val="0"/>
  </c:chart>
  <c:spPr>
    <a:ln w="38100">
      <a:solidFill>
        <a:srgbClr val="C00000"/>
      </a:solidFill>
    </a:ln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CO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10. MEJORA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v>CUMPLIMIENTO</c:v>
          </c:tx>
          <c:marker>
            <c:symbol val="none"/>
          </c:marker>
          <c:cat>
            <c:strRef>
              <c:f>MEJORA!$P$4:$P$6</c:f>
              <c:strCache>
                <c:ptCount val="3"/>
                <c:pt idx="0">
                  <c:v>10.1 Generalidades</c:v>
                </c:pt>
                <c:pt idx="1">
                  <c:v>10.2 No conformidad y acción correctiva</c:v>
                </c:pt>
                <c:pt idx="2">
                  <c:v>10.3 Mejora continua</c:v>
                </c:pt>
              </c:strCache>
            </c:strRef>
          </c:cat>
          <c:val>
            <c:numRef>
              <c:f>MEJORA!$Q$4:$Q$6</c:f>
              <c:numCache>
                <c:formatCode>0%</c:formatCode>
                <c:ptCount val="3"/>
                <c:pt idx="0">
                  <c:v>1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AF-4415-BDF6-582DC9D0EC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99968"/>
        <c:axId val="72501504"/>
      </c:radarChart>
      <c:catAx>
        <c:axId val="72499968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72501504"/>
        <c:crosses val="autoZero"/>
        <c:auto val="0"/>
        <c:lblAlgn val="ctr"/>
        <c:lblOffset val="100"/>
        <c:noMultiLvlLbl val="0"/>
      </c:catAx>
      <c:valAx>
        <c:axId val="72501504"/>
        <c:scaling>
          <c:orientation val="minMax"/>
        </c:scaling>
        <c:delete val="0"/>
        <c:axPos val="l"/>
        <c:majorGridlines/>
        <c:numFmt formatCode="0%" sourceLinked="1"/>
        <c:majorTickMark val="none"/>
        <c:minorTickMark val="none"/>
        <c:tickLblPos val="nextTo"/>
        <c:crossAx val="72499968"/>
        <c:crosses val="autoZero"/>
        <c:crossBetween val="between"/>
      </c:valAx>
    </c:plotArea>
    <c:plotVisOnly val="1"/>
    <c:dispBlanksAs val="gap"/>
    <c:showDLblsOverMax val="0"/>
  </c:chart>
  <c:spPr>
    <a:ln w="38100">
      <a:solidFill>
        <a:srgbClr val="C00000"/>
      </a:solidFill>
    </a:ln>
  </c:spPr>
  <c:txPr>
    <a:bodyPr/>
    <a:lstStyle/>
    <a:p>
      <a:pPr>
        <a:defRPr sz="900"/>
      </a:pPr>
      <a:endParaRPr lang="es-CO"/>
    </a:p>
  </c:txPr>
  <c:printSettings>
    <c:headerFooter/>
    <c:pageMargins b="0.750000000000001" l="0.70000000000000062" r="0.70000000000000062" t="0.75000000000000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83343</xdr:colOff>
      <xdr:row>1</xdr:row>
      <xdr:rowOff>183356</xdr:rowOff>
    </xdr:from>
    <xdr:to>
      <xdr:col>9</xdr:col>
      <xdr:colOff>559593</xdr:colOff>
      <xdr:row>22</xdr:row>
      <xdr:rowOff>178593</xdr:rowOff>
    </xdr:to>
    <xdr:graphicFrame macro="">
      <xdr:nvGraphicFramePr>
        <xdr:cNvPr id="1071" name="2 Gráfico">
          <a:extLst>
            <a:ext uri="{FF2B5EF4-FFF2-40B4-BE49-F238E27FC236}">
              <a16:creationId xmlns:a16="http://schemas.microsoft.com/office/drawing/2014/main" id="{E38E40B9-5776-4453-93A2-CC2EC4E5CF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11</xdr:col>
      <xdr:colOff>596000</xdr:colOff>
      <xdr:row>29</xdr:row>
      <xdr:rowOff>66000</xdr:rowOff>
    </xdr:to>
    <xdr:graphicFrame macro="">
      <xdr:nvGraphicFramePr>
        <xdr:cNvPr id="9" name="2 Gráfico">
          <a:extLst>
            <a:ext uri="{FF2B5EF4-FFF2-40B4-BE49-F238E27FC236}">
              <a16:creationId xmlns:a16="http://schemas.microsoft.com/office/drawing/2014/main" id="{058C2582-8001-4EE1-AE2F-68A1DBA7E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</xdr:row>
      <xdr:rowOff>15875</xdr:rowOff>
    </xdr:from>
    <xdr:to>
      <xdr:col>21</xdr:col>
      <xdr:colOff>342000</xdr:colOff>
      <xdr:row>29</xdr:row>
      <xdr:rowOff>81875</xdr:rowOff>
    </xdr:to>
    <xdr:graphicFrame macro="">
      <xdr:nvGraphicFramePr>
        <xdr:cNvPr id="10" name="1 Gráfico">
          <a:extLst>
            <a:ext uri="{FF2B5EF4-FFF2-40B4-BE49-F238E27FC236}">
              <a16:creationId xmlns:a16="http://schemas.microsoft.com/office/drawing/2014/main" id="{D0E4EAEE-603A-41C3-B6A6-640999870F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539750</xdr:colOff>
      <xdr:row>1</xdr:row>
      <xdr:rowOff>31750</xdr:rowOff>
    </xdr:from>
    <xdr:to>
      <xdr:col>31</xdr:col>
      <xdr:colOff>119750</xdr:colOff>
      <xdr:row>29</xdr:row>
      <xdr:rowOff>97750</xdr:rowOff>
    </xdr:to>
    <xdr:graphicFrame macro="">
      <xdr:nvGraphicFramePr>
        <xdr:cNvPr id="11" name="1 Gráfico">
          <a:extLst>
            <a:ext uri="{FF2B5EF4-FFF2-40B4-BE49-F238E27FC236}">
              <a16:creationId xmlns:a16="http://schemas.microsoft.com/office/drawing/2014/main" id="{38A3EE01-0A22-463F-AE13-0FC1948555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31</xdr:col>
      <xdr:colOff>365125</xdr:colOff>
      <xdr:row>1</xdr:row>
      <xdr:rowOff>63500</xdr:rowOff>
    </xdr:from>
    <xdr:to>
      <xdr:col>40</xdr:col>
      <xdr:colOff>707125</xdr:colOff>
      <xdr:row>29</xdr:row>
      <xdr:rowOff>129500</xdr:rowOff>
    </xdr:to>
    <xdr:graphicFrame macro="">
      <xdr:nvGraphicFramePr>
        <xdr:cNvPr id="12" name="2 Gráfico">
          <a:extLst>
            <a:ext uri="{FF2B5EF4-FFF2-40B4-BE49-F238E27FC236}">
              <a16:creationId xmlns:a16="http://schemas.microsoft.com/office/drawing/2014/main" id="{7C870281-5C7E-4CB1-9BA5-A17E9023AC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127000</xdr:colOff>
      <xdr:row>30</xdr:row>
      <xdr:rowOff>95250</xdr:rowOff>
    </xdr:from>
    <xdr:to>
      <xdr:col>11</xdr:col>
      <xdr:colOff>564250</xdr:colOff>
      <xdr:row>58</xdr:row>
      <xdr:rowOff>161250</xdr:rowOff>
    </xdr:to>
    <xdr:graphicFrame macro="">
      <xdr:nvGraphicFramePr>
        <xdr:cNvPr id="13" name="14 Gráfico">
          <a:extLst>
            <a:ext uri="{FF2B5EF4-FFF2-40B4-BE49-F238E27FC236}">
              <a16:creationId xmlns:a16="http://schemas.microsoft.com/office/drawing/2014/main" id="{A1F903A0-A5A0-4ABB-ABFC-598B83B69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31750</xdr:colOff>
      <xdr:row>30</xdr:row>
      <xdr:rowOff>142875</xdr:rowOff>
    </xdr:from>
    <xdr:to>
      <xdr:col>21</xdr:col>
      <xdr:colOff>373750</xdr:colOff>
      <xdr:row>59</xdr:row>
      <xdr:rowOff>18375</xdr:rowOff>
    </xdr:to>
    <xdr:graphicFrame macro="">
      <xdr:nvGraphicFramePr>
        <xdr:cNvPr id="14" name="5 Gráfico">
          <a:extLst>
            <a:ext uri="{FF2B5EF4-FFF2-40B4-BE49-F238E27FC236}">
              <a16:creationId xmlns:a16="http://schemas.microsoft.com/office/drawing/2014/main" id="{9ECFB5BE-875B-435E-90F7-F0B2C1E2B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21</xdr:col>
      <xdr:colOff>587375</xdr:colOff>
      <xdr:row>30</xdr:row>
      <xdr:rowOff>174624</xdr:rowOff>
    </xdr:from>
    <xdr:to>
      <xdr:col>31</xdr:col>
      <xdr:colOff>167375</xdr:colOff>
      <xdr:row>59</xdr:row>
      <xdr:rowOff>50124</xdr:rowOff>
    </xdr:to>
    <xdr:graphicFrame macro="">
      <xdr:nvGraphicFramePr>
        <xdr:cNvPr id="15" name="2 Gráfico">
          <a:extLst>
            <a:ext uri="{FF2B5EF4-FFF2-40B4-BE49-F238E27FC236}">
              <a16:creationId xmlns:a16="http://schemas.microsoft.com/office/drawing/2014/main" id="{5FE25A64-6D46-4981-9326-34B44B7806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121556</xdr:colOff>
      <xdr:row>1</xdr:row>
      <xdr:rowOff>73478</xdr:rowOff>
    </xdr:from>
    <xdr:to>
      <xdr:col>17</xdr:col>
      <xdr:colOff>1365249</xdr:colOff>
      <xdr:row>16</xdr:row>
      <xdr:rowOff>123371</xdr:rowOff>
    </xdr:to>
    <xdr:graphicFrame macro="">
      <xdr:nvGraphicFramePr>
        <xdr:cNvPr id="11318" name="2 Gráfico">
          <a:extLst>
            <a:ext uri="{FF2B5EF4-FFF2-40B4-BE49-F238E27FC236}">
              <a16:creationId xmlns:a16="http://schemas.microsoft.com/office/drawing/2014/main" id="{C6C2E2FE-A9F6-4643-AFBA-72B3EEF468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333375</xdr:colOff>
      <xdr:row>1</xdr:row>
      <xdr:rowOff>95250</xdr:rowOff>
    </xdr:from>
    <xdr:to>
      <xdr:col>17</xdr:col>
      <xdr:colOff>635000</xdr:colOff>
      <xdr:row>16</xdr:row>
      <xdr:rowOff>356250</xdr:rowOff>
    </xdr:to>
    <xdr:graphicFrame macro="">
      <xdr:nvGraphicFramePr>
        <xdr:cNvPr id="13368" name="1 Gráfico">
          <a:extLst>
            <a:ext uri="{FF2B5EF4-FFF2-40B4-BE49-F238E27FC236}">
              <a16:creationId xmlns:a16="http://schemas.microsoft.com/office/drawing/2014/main" id="{00654D58-F97B-4EAC-A8D6-F22BE0A662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630382</xdr:colOff>
      <xdr:row>0</xdr:row>
      <xdr:rowOff>34637</xdr:rowOff>
    </xdr:from>
    <xdr:to>
      <xdr:col>22</xdr:col>
      <xdr:colOff>516082</xdr:colOff>
      <xdr:row>19</xdr:row>
      <xdr:rowOff>190500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77256439-3B89-4E9F-9076-B7544CEF9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57150</xdr:colOff>
      <xdr:row>2</xdr:row>
      <xdr:rowOff>394606</xdr:rowOff>
    </xdr:from>
    <xdr:to>
      <xdr:col>20</xdr:col>
      <xdr:colOff>304799</xdr:colOff>
      <xdr:row>19</xdr:row>
      <xdr:rowOff>81643</xdr:rowOff>
    </xdr:to>
    <xdr:graphicFrame macro="">
      <xdr:nvGraphicFramePr>
        <xdr:cNvPr id="2" name="2 Gráfico">
          <a:extLst>
            <a:ext uri="{FF2B5EF4-FFF2-40B4-BE49-F238E27FC236}">
              <a16:creationId xmlns:a16="http://schemas.microsoft.com/office/drawing/2014/main" id="{74FD5D68-D0E7-42E1-9754-4979DC7CF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161925</xdr:colOff>
      <xdr:row>1</xdr:row>
      <xdr:rowOff>247650</xdr:rowOff>
    </xdr:from>
    <xdr:to>
      <xdr:col>17</xdr:col>
      <xdr:colOff>68036</xdr:colOff>
      <xdr:row>11</xdr:row>
      <xdr:rowOff>217714</xdr:rowOff>
    </xdr:to>
    <xdr:graphicFrame macro="">
      <xdr:nvGraphicFramePr>
        <xdr:cNvPr id="19506" name="14 Gráfico">
          <a:extLst>
            <a:ext uri="{FF2B5EF4-FFF2-40B4-BE49-F238E27FC236}">
              <a16:creationId xmlns:a16="http://schemas.microsoft.com/office/drawing/2014/main" id="{0A8D293D-582F-4BE5-B5A3-3F8C03F8BF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342900</xdr:colOff>
      <xdr:row>1</xdr:row>
      <xdr:rowOff>11906</xdr:rowOff>
    </xdr:from>
    <xdr:to>
      <xdr:col>17</xdr:col>
      <xdr:colOff>400050</xdr:colOff>
      <xdr:row>16</xdr:row>
      <xdr:rowOff>108858</xdr:rowOff>
    </xdr:to>
    <xdr:graphicFrame macro="">
      <xdr:nvGraphicFramePr>
        <xdr:cNvPr id="21552" name="5 Gráfico">
          <a:extLst>
            <a:ext uri="{FF2B5EF4-FFF2-40B4-BE49-F238E27FC236}">
              <a16:creationId xmlns:a16="http://schemas.microsoft.com/office/drawing/2014/main" id="{FF15B899-F1C7-45E3-A979-13739DB84D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304799</xdr:colOff>
      <xdr:row>1</xdr:row>
      <xdr:rowOff>228600</xdr:rowOff>
    </xdr:from>
    <xdr:to>
      <xdr:col>14</xdr:col>
      <xdr:colOff>40820</xdr:colOff>
      <xdr:row>13</xdr:row>
      <xdr:rowOff>217714</xdr:rowOff>
    </xdr:to>
    <xdr:graphicFrame macro="">
      <xdr:nvGraphicFramePr>
        <xdr:cNvPr id="23601" name="2 Gráfico">
          <a:extLst>
            <a:ext uri="{FF2B5EF4-FFF2-40B4-BE49-F238E27FC236}">
              <a16:creationId xmlns:a16="http://schemas.microsoft.com/office/drawing/2014/main" id="{12BA6B76-81C8-4384-BBEF-4E94A5A593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K2:L10"/>
  <sheetViews>
    <sheetView showGridLines="0" zoomScale="80" zoomScaleNormal="80" workbookViewId="0">
      <selection activeCell="K9" sqref="K9"/>
    </sheetView>
  </sheetViews>
  <sheetFormatPr baseColWidth="10" defaultRowHeight="14.4"/>
  <cols>
    <col min="2" max="2" width="42" customWidth="1"/>
    <col min="3" max="3" width="17.6640625" customWidth="1"/>
    <col min="5" max="9" width="7.6640625" customWidth="1"/>
    <col min="10" max="10" width="11.33203125" customWidth="1"/>
    <col min="11" max="11" width="49.6640625" customWidth="1"/>
    <col min="12" max="12" width="15.6640625" bestFit="1" customWidth="1"/>
  </cols>
  <sheetData>
    <row r="2" spans="11:12" ht="15" thickBot="1"/>
    <row r="3" spans="11:12" ht="15" thickBot="1">
      <c r="K3" s="198" t="s">
        <v>16</v>
      </c>
      <c r="L3" s="199" t="s">
        <v>207</v>
      </c>
    </row>
    <row r="4" spans="11:12" ht="15" thickBot="1">
      <c r="K4" s="27" t="str">
        <f>CONTEXTO!$S$6</f>
        <v>4. CONTEXTO DE LA ORGANIZACIÓN</v>
      </c>
      <c r="L4" s="197">
        <f>CONTEXTO!T6</f>
        <v>0.9375</v>
      </c>
    </row>
    <row r="5" spans="11:12" ht="15" thickBot="1">
      <c r="K5" s="27" t="str">
        <f>LIDERAZGO!S7</f>
        <v>5. LIDERAZGO</v>
      </c>
      <c r="L5" s="25">
        <f>LIDERAZGO!T7</f>
        <v>0.87962962962962965</v>
      </c>
    </row>
    <row r="6" spans="11:12" ht="15" thickBot="1">
      <c r="K6" s="27" t="str">
        <f>PLANIFICACIÓN!X13</f>
        <v>6. PLANIFICACIÓN</v>
      </c>
      <c r="L6" s="25">
        <f>PLANIFICACIÓN!Y13</f>
        <v>0.88411458333333337</v>
      </c>
    </row>
    <row r="7" spans="11:12" ht="15" thickBot="1">
      <c r="K7" s="27" t="str">
        <f>APOYO!V13</f>
        <v>7. APOYO</v>
      </c>
      <c r="L7" s="25">
        <f>APOYO!W13</f>
        <v>0.91893939393939406</v>
      </c>
    </row>
    <row r="8" spans="11:12" ht="15" thickBot="1">
      <c r="K8" s="27" t="str">
        <f>OPERACIÓN!S5</f>
        <v>8.OPERACIÓN</v>
      </c>
      <c r="L8" s="25">
        <f>OPERACIÓN!T5</f>
        <v>0.71875</v>
      </c>
    </row>
    <row r="9" spans="11:12" ht="21.75" customHeight="1" thickBot="1">
      <c r="K9" s="27" t="str">
        <f>'EVALUACIÓN DEL DESEMPEÑO'!S9</f>
        <v>9 EVALUACIÓN DEL DESEMPEÑO</v>
      </c>
      <c r="L9" s="25">
        <f>'EVALUACIÓN DEL DESEMPEÑO'!T9</f>
        <v>0.94285714285714284</v>
      </c>
    </row>
    <row r="10" spans="11:12" ht="15" thickBot="1">
      <c r="K10" s="27" t="str">
        <f>MEJORA!P7</f>
        <v>10. MEJORA</v>
      </c>
      <c r="L10" s="26">
        <f>MEJORA!Q7</f>
        <v>0.66666666666666663</v>
      </c>
    </row>
  </sheetData>
  <sheetProtection algorithmName="SHA-512" hashValue="ckQkdq5wvb7qz9xg3csg1I5QRxNfMbJHpJqnbF3orgLM0LTSDbse+bX0HAgYKIEkrj+Ah6Ze9u3eoB/9CXk9BA==" saltValue="s3ZqFQyBdUlUU3Vw6wreWw==" spinCount="100000" sheet="1" objects="1" scenarios="1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"/>
  <sheetViews>
    <sheetView showGridLines="0" topLeftCell="D20" zoomScale="70" zoomScaleNormal="70" workbookViewId="0">
      <selection activeCell="F43" sqref="F43"/>
    </sheetView>
  </sheetViews>
  <sheetFormatPr baseColWidth="10" defaultColWidth="11.44140625" defaultRowHeight="14.4"/>
  <cols>
    <col min="1" max="1" width="2.88671875" customWidth="1"/>
    <col min="6" max="6" width="3.6640625" customWidth="1"/>
    <col min="11" max="11" width="3.6640625" customWidth="1"/>
  </cols>
  <sheetData/>
  <sheetProtection algorithmName="SHA-512" hashValue="d3YM26QlU/v2SNke2cZYl3Aettrp4+qrkRX8vt8mUyVneAdI0u7cqqGQrcTEQawS5W7Gw4kMoqhgwz3xvPJgAQ==" saltValue="CkQtwD7552Vsc5kZ7IrPGg==" spinCount="100000" sheet="1" objects="1" scenarios="1"/>
  <pageMargins left="0.7" right="0.7" top="0.75" bottom="0.75" header="0.3" footer="0.3"/>
  <pageSetup scale="61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T29"/>
  <sheetViews>
    <sheetView view="pageBreakPreview" topLeftCell="A6" zoomScale="60" zoomScaleNormal="100" workbookViewId="0">
      <selection activeCell="A12" sqref="A12"/>
    </sheetView>
  </sheetViews>
  <sheetFormatPr baseColWidth="10" defaultColWidth="11.44140625" defaultRowHeight="15.6"/>
  <cols>
    <col min="1" max="1" width="4.33203125" style="42" customWidth="1"/>
    <col min="2" max="2" width="90.6640625" style="42" customWidth="1"/>
    <col min="3" max="3" width="13.33203125" style="43" bestFit="1" customWidth="1"/>
    <col min="4" max="4" width="17.33203125" style="43" bestFit="1" customWidth="1"/>
    <col min="5" max="5" width="23" style="43" customWidth="1"/>
    <col min="6" max="6" width="28.33203125" style="43" customWidth="1"/>
    <col min="7" max="8" width="29.5546875" style="42" customWidth="1"/>
    <col min="9" max="9" width="34.88671875" style="42" customWidth="1"/>
    <col min="10" max="10" width="22.88671875" style="42" customWidth="1"/>
    <col min="11" max="11" width="27.6640625" style="42" customWidth="1"/>
    <col min="12" max="12" width="7" style="42" customWidth="1"/>
    <col min="13" max="17" width="11.44140625" style="42"/>
    <col min="18" max="18" width="27.44140625" style="42" customWidth="1"/>
    <col min="19" max="19" width="83.88671875" style="42" bestFit="1" customWidth="1"/>
    <col min="20" max="20" width="11.44140625" style="43"/>
    <col min="21" max="16384" width="11.44140625" style="42"/>
  </cols>
  <sheetData>
    <row r="1" spans="2:20" ht="16.2" thickBot="1"/>
    <row r="2" spans="2:20" s="43" customFormat="1" ht="30.9" customHeight="1" thickBot="1">
      <c r="B2" s="348" t="s">
        <v>206</v>
      </c>
      <c r="C2" s="348" t="s">
        <v>9</v>
      </c>
      <c r="D2" s="348" t="s">
        <v>4</v>
      </c>
      <c r="E2" s="348" t="s">
        <v>5</v>
      </c>
      <c r="F2" s="348" t="s">
        <v>6</v>
      </c>
      <c r="G2" s="348" t="s">
        <v>7</v>
      </c>
      <c r="H2" s="348" t="s">
        <v>8</v>
      </c>
      <c r="I2" s="348" t="s">
        <v>208</v>
      </c>
      <c r="J2" s="348" t="s">
        <v>210</v>
      </c>
      <c r="K2" s="348" t="s">
        <v>209</v>
      </c>
      <c r="S2" s="107" t="s">
        <v>36</v>
      </c>
      <c r="T2" s="108">
        <f>D3</f>
        <v>0.75</v>
      </c>
    </row>
    <row r="3" spans="2:20" ht="30.9" customHeight="1" thickBot="1">
      <c r="B3" s="349" t="s">
        <v>36</v>
      </c>
      <c r="C3" s="394"/>
      <c r="D3" s="397">
        <f>((D7*1)+(E7*0.5)+(F7*0))/2</f>
        <v>0.75</v>
      </c>
      <c r="E3" s="397"/>
      <c r="F3" s="397"/>
      <c r="G3" s="395"/>
      <c r="H3" s="350"/>
      <c r="I3" s="350"/>
      <c r="J3" s="350"/>
      <c r="K3" s="395"/>
      <c r="S3" s="109" t="s">
        <v>0</v>
      </c>
      <c r="T3" s="110">
        <f>D8</f>
        <v>1</v>
      </c>
    </row>
    <row r="4" spans="2:20" ht="16.2" thickBot="1">
      <c r="B4" s="351" t="s">
        <v>1</v>
      </c>
      <c r="C4" s="394"/>
      <c r="D4" s="397"/>
      <c r="E4" s="397"/>
      <c r="F4" s="397"/>
      <c r="G4" s="395"/>
      <c r="H4" s="350"/>
      <c r="I4" s="350"/>
      <c r="J4" s="350"/>
      <c r="K4" s="395"/>
      <c r="S4" s="109" t="s">
        <v>38</v>
      </c>
      <c r="T4" s="110">
        <f>D15</f>
        <v>1</v>
      </c>
    </row>
    <row r="5" spans="2:20" ht="70.5" customHeight="1" thickBot="1">
      <c r="B5" s="352" t="s">
        <v>37</v>
      </c>
      <c r="C5" s="225"/>
      <c r="D5" s="207"/>
      <c r="E5" s="207" t="s">
        <v>212</v>
      </c>
      <c r="F5" s="207"/>
      <c r="G5" s="287" t="s">
        <v>211</v>
      </c>
      <c r="H5" s="42" t="s">
        <v>214</v>
      </c>
      <c r="I5" s="287" t="s">
        <v>213</v>
      </c>
      <c r="J5" s="363">
        <v>44232</v>
      </c>
      <c r="K5" s="287" t="s">
        <v>217</v>
      </c>
      <c r="S5" s="109" t="s">
        <v>39</v>
      </c>
      <c r="T5" s="110">
        <f>D25</f>
        <v>1</v>
      </c>
    </row>
    <row r="6" spans="2:20" ht="39.75" customHeight="1" thickBot="1">
      <c r="B6" s="48" t="s">
        <v>33</v>
      </c>
      <c r="C6" s="225"/>
      <c r="D6" s="207" t="s">
        <v>212</v>
      </c>
      <c r="E6" s="207"/>
      <c r="F6" s="207"/>
      <c r="G6" s="287" t="s">
        <v>215</v>
      </c>
      <c r="H6" s="287"/>
      <c r="I6" s="287" t="s">
        <v>216</v>
      </c>
      <c r="J6" s="363">
        <v>44236</v>
      </c>
      <c r="K6" s="287" t="s">
        <v>217</v>
      </c>
      <c r="S6" s="109" t="str">
        <f>B2</f>
        <v>4. CONTEXTO DE LA ORGANIZACIÓN</v>
      </c>
      <c r="T6" s="110">
        <f>AVERAGE(T2:T5)</f>
        <v>0.9375</v>
      </c>
    </row>
    <row r="7" spans="2:20" ht="30.9" customHeight="1">
      <c r="B7" s="396"/>
      <c r="C7" s="396"/>
      <c r="D7" s="353">
        <f>COUNTIF(D5:D6,"X")</f>
        <v>1</v>
      </c>
      <c r="E7" s="353">
        <f>COUNTIF(E5:E6,"X")</f>
        <v>1</v>
      </c>
      <c r="F7" s="353">
        <f>COUNTIF(F5:F6,"X")</f>
        <v>0</v>
      </c>
      <c r="G7" s="396"/>
      <c r="H7" s="396"/>
      <c r="I7" s="396"/>
      <c r="J7" s="396"/>
      <c r="K7" s="396"/>
      <c r="S7"/>
      <c r="T7" s="104"/>
    </row>
    <row r="8" spans="2:20" ht="30.9" customHeight="1">
      <c r="B8" s="349" t="s">
        <v>0</v>
      </c>
      <c r="C8" s="394"/>
      <c r="D8" s="397">
        <f>((D14*1)+(E14*0.5)+(F14*0))/4</f>
        <v>1</v>
      </c>
      <c r="E8" s="397"/>
      <c r="F8" s="397"/>
      <c r="G8" s="395"/>
      <c r="H8" s="350"/>
      <c r="I8" s="350"/>
      <c r="J8" s="350"/>
      <c r="K8" s="395"/>
      <c r="S8"/>
      <c r="T8" s="104"/>
    </row>
    <row r="9" spans="2:20" ht="30.9" customHeight="1">
      <c r="B9" s="351" t="s">
        <v>1</v>
      </c>
      <c r="C9" s="394"/>
      <c r="D9" s="397"/>
      <c r="E9" s="397"/>
      <c r="F9" s="397"/>
      <c r="G9" s="395"/>
      <c r="H9" s="350"/>
      <c r="I9" s="350"/>
      <c r="J9" s="350"/>
      <c r="K9" s="395"/>
      <c r="S9"/>
      <c r="T9" s="104"/>
    </row>
    <row r="10" spans="2:20" ht="30.9" customHeight="1">
      <c r="B10" s="354" t="s">
        <v>45</v>
      </c>
      <c r="C10" s="207"/>
      <c r="D10" s="207" t="s">
        <v>212</v>
      </c>
      <c r="E10" s="207"/>
      <c r="F10" s="207"/>
      <c r="G10" s="287"/>
      <c r="H10" s="287"/>
      <c r="I10" s="287"/>
      <c r="J10" s="287"/>
      <c r="K10" s="287"/>
      <c r="S10"/>
      <c r="T10" s="104"/>
    </row>
    <row r="11" spans="2:20" ht="30.9" customHeight="1">
      <c r="B11" s="354" t="s">
        <v>46</v>
      </c>
      <c r="C11" s="207"/>
      <c r="D11" s="207" t="s">
        <v>212</v>
      </c>
      <c r="E11" s="207"/>
      <c r="F11" s="207"/>
      <c r="G11" s="287" t="s">
        <v>218</v>
      </c>
      <c r="H11" s="287"/>
      <c r="I11" s="287" t="s">
        <v>219</v>
      </c>
      <c r="J11" s="287"/>
      <c r="K11" s="287"/>
      <c r="S11"/>
      <c r="T11" s="104"/>
    </row>
    <row r="12" spans="2:20" ht="30.9" customHeight="1">
      <c r="B12" s="355" t="s">
        <v>47</v>
      </c>
      <c r="C12" s="207"/>
      <c r="D12" s="207" t="s">
        <v>212</v>
      </c>
      <c r="E12" s="207"/>
      <c r="F12" s="207"/>
      <c r="G12" s="287"/>
      <c r="H12" s="287"/>
      <c r="I12" s="287"/>
      <c r="J12" s="287"/>
      <c r="K12" s="287"/>
    </row>
    <row r="13" spans="2:20" ht="30.9" customHeight="1">
      <c r="B13" s="356" t="s">
        <v>31</v>
      </c>
      <c r="C13" s="207"/>
      <c r="D13" s="207" t="s">
        <v>212</v>
      </c>
      <c r="E13" s="207"/>
      <c r="F13" s="207"/>
      <c r="G13" s="287"/>
      <c r="H13" s="287"/>
      <c r="I13" s="287"/>
      <c r="J13" s="287"/>
      <c r="K13" s="287"/>
    </row>
    <row r="14" spans="2:20" ht="30.9" customHeight="1">
      <c r="B14" s="396"/>
      <c r="C14" s="396"/>
      <c r="D14" s="353">
        <f>COUNTIF(D10:D13,"X")</f>
        <v>4</v>
      </c>
      <c r="E14" s="353">
        <f>COUNTIF(E10:E13,"X")</f>
        <v>0</v>
      </c>
      <c r="F14" s="353">
        <f>COUNTIF(F10:F13,"X")</f>
        <v>0</v>
      </c>
      <c r="G14" s="396"/>
      <c r="H14" s="396"/>
      <c r="I14" s="396"/>
      <c r="J14" s="396"/>
      <c r="K14" s="396"/>
    </row>
    <row r="15" spans="2:20" ht="30.9" customHeight="1">
      <c r="B15" s="349" t="s">
        <v>38</v>
      </c>
      <c r="C15" s="394"/>
      <c r="D15" s="397">
        <f>((D24*1)+(E24*0.5)+(F24*0))/7</f>
        <v>1</v>
      </c>
      <c r="E15" s="397"/>
      <c r="F15" s="397"/>
      <c r="G15" s="395"/>
      <c r="H15" s="350"/>
      <c r="I15" s="350"/>
      <c r="J15" s="350"/>
      <c r="K15" s="395"/>
    </row>
    <row r="16" spans="2:20" ht="30.9" customHeight="1">
      <c r="B16" s="357" t="s">
        <v>2</v>
      </c>
      <c r="C16" s="394"/>
      <c r="D16" s="397"/>
      <c r="E16" s="397"/>
      <c r="F16" s="397"/>
      <c r="G16" s="395"/>
      <c r="H16" s="350"/>
      <c r="I16" s="350"/>
      <c r="J16" s="350"/>
      <c r="K16" s="395"/>
    </row>
    <row r="17" spans="2:20" ht="30.9" customHeight="1">
      <c r="B17" s="358" t="s">
        <v>48</v>
      </c>
      <c r="C17" s="225"/>
      <c r="D17" s="207" t="s">
        <v>212</v>
      </c>
      <c r="E17" s="207"/>
      <c r="F17" s="207"/>
      <c r="G17" s="287"/>
      <c r="H17" s="287"/>
      <c r="I17" s="287"/>
      <c r="J17" s="287"/>
      <c r="K17" s="287"/>
    </row>
    <row r="18" spans="2:20" ht="30.9" customHeight="1">
      <c r="B18" s="358" t="s">
        <v>49</v>
      </c>
      <c r="C18" s="225"/>
      <c r="D18" s="207" t="s">
        <v>212</v>
      </c>
      <c r="E18" s="207"/>
      <c r="F18" s="207"/>
      <c r="G18" s="287"/>
      <c r="H18" s="287"/>
      <c r="I18" s="287"/>
      <c r="J18" s="287"/>
      <c r="K18" s="287"/>
    </row>
    <row r="19" spans="2:20" ht="30.9" customHeight="1">
      <c r="B19" s="358" t="s">
        <v>50</v>
      </c>
      <c r="C19" s="225"/>
      <c r="D19" s="207" t="s">
        <v>212</v>
      </c>
      <c r="E19" s="207"/>
      <c r="F19" s="207"/>
      <c r="G19" s="287"/>
      <c r="H19" s="287"/>
      <c r="I19" s="287"/>
      <c r="J19" s="287"/>
      <c r="K19" s="287"/>
    </row>
    <row r="20" spans="2:20" ht="30" customHeight="1">
      <c r="B20" s="48" t="s">
        <v>51</v>
      </c>
      <c r="C20" s="225"/>
      <c r="D20" s="207" t="s">
        <v>212</v>
      </c>
      <c r="E20" s="207"/>
      <c r="F20" s="207"/>
      <c r="G20" s="287"/>
      <c r="H20" s="287"/>
      <c r="I20" s="287"/>
      <c r="J20" s="287"/>
      <c r="K20" s="287"/>
    </row>
    <row r="21" spans="2:20" ht="30.9" customHeight="1">
      <c r="B21" s="48" t="s">
        <v>52</v>
      </c>
      <c r="C21" s="225"/>
      <c r="D21" s="207" t="s">
        <v>212</v>
      </c>
      <c r="E21" s="207"/>
      <c r="F21" s="207"/>
      <c r="G21" s="287"/>
      <c r="H21" s="287"/>
      <c r="I21" s="287"/>
      <c r="J21" s="287"/>
      <c r="K21" s="287"/>
    </row>
    <row r="22" spans="2:20" ht="30.9" customHeight="1">
      <c r="B22" s="358" t="s">
        <v>32</v>
      </c>
      <c r="C22" s="225"/>
      <c r="D22" s="207" t="s">
        <v>212</v>
      </c>
      <c r="E22" s="207"/>
      <c r="F22" s="207"/>
      <c r="G22" s="287"/>
      <c r="H22" s="287"/>
      <c r="I22" s="287"/>
      <c r="J22" s="287"/>
      <c r="K22" s="287"/>
    </row>
    <row r="23" spans="2:20" s="43" customFormat="1" ht="30.9" customHeight="1">
      <c r="B23" s="359" t="s">
        <v>53</v>
      </c>
      <c r="C23" s="225"/>
      <c r="D23" s="207" t="s">
        <v>212</v>
      </c>
      <c r="E23" s="207"/>
      <c r="F23" s="207"/>
      <c r="G23" s="360"/>
      <c r="H23" s="360"/>
      <c r="I23" s="360"/>
      <c r="J23" s="360"/>
      <c r="K23" s="360"/>
    </row>
    <row r="24" spans="2:20" ht="30.9" customHeight="1">
      <c r="B24" s="401"/>
      <c r="C24" s="401"/>
      <c r="D24" s="353">
        <f>COUNTIF(D17:D23,"X")</f>
        <v>7</v>
      </c>
      <c r="E24" s="353">
        <f>COUNTIF(E17:E23,"X")</f>
        <v>0</v>
      </c>
      <c r="F24" s="353">
        <f>COUNTIF(F17:F23,"X")</f>
        <v>0</v>
      </c>
      <c r="G24" s="396"/>
      <c r="H24" s="396"/>
      <c r="I24" s="396"/>
      <c r="J24" s="396"/>
      <c r="K24" s="396"/>
    </row>
    <row r="25" spans="2:20" ht="30.9" customHeight="1">
      <c r="B25" s="349" t="s">
        <v>39</v>
      </c>
      <c r="C25" s="400"/>
      <c r="D25" s="397">
        <f>((D29*1)+(E29*0.5)+(F29*0))/2</f>
        <v>1</v>
      </c>
      <c r="E25" s="397"/>
      <c r="F25" s="397"/>
      <c r="G25" s="402"/>
      <c r="H25" s="361"/>
      <c r="I25" s="361"/>
      <c r="J25" s="361"/>
      <c r="K25" s="402"/>
    </row>
    <row r="26" spans="2:20" ht="30.9" customHeight="1">
      <c r="B26" s="351" t="s">
        <v>40</v>
      </c>
      <c r="C26" s="400"/>
      <c r="D26" s="397"/>
      <c r="E26" s="397"/>
      <c r="F26" s="397"/>
      <c r="G26" s="402"/>
      <c r="H26" s="361"/>
      <c r="I26" s="361"/>
      <c r="J26" s="361"/>
      <c r="K26" s="402"/>
    </row>
    <row r="27" spans="2:20" ht="30.9" customHeight="1">
      <c r="B27" s="139" t="s">
        <v>41</v>
      </c>
      <c r="C27" s="362"/>
      <c r="D27" s="207" t="s">
        <v>212</v>
      </c>
      <c r="E27" s="207"/>
      <c r="F27" s="207"/>
      <c r="G27" s="287"/>
      <c r="H27" s="287"/>
      <c r="I27" s="287"/>
      <c r="J27" s="287"/>
      <c r="K27" s="287"/>
    </row>
    <row r="28" spans="2:20" ht="30.9" customHeight="1">
      <c r="B28" s="139" t="s">
        <v>42</v>
      </c>
      <c r="C28" s="362"/>
      <c r="D28" s="207" t="s">
        <v>212</v>
      </c>
      <c r="E28" s="207"/>
      <c r="F28" s="207"/>
      <c r="G28" s="287"/>
      <c r="H28" s="287"/>
      <c r="I28" s="287"/>
      <c r="J28" s="287"/>
      <c r="K28" s="287"/>
    </row>
    <row r="29" spans="2:20" s="52" customFormat="1" ht="30.9" customHeight="1">
      <c r="B29" s="398"/>
      <c r="C29" s="398"/>
      <c r="D29" s="353">
        <f>COUNTIF(D27:D28,"X")</f>
        <v>2</v>
      </c>
      <c r="E29" s="353">
        <f>COUNTIF(E27:E28,"X")</f>
        <v>0</v>
      </c>
      <c r="F29" s="353">
        <f>COUNTIF(F27:F28,"X")</f>
        <v>0</v>
      </c>
      <c r="G29" s="399"/>
      <c r="H29" s="399"/>
      <c r="I29" s="399"/>
      <c r="J29" s="399"/>
      <c r="K29" s="399"/>
      <c r="T29" s="105"/>
    </row>
  </sheetData>
  <mergeCells count="24">
    <mergeCell ref="B29:C29"/>
    <mergeCell ref="G29:K29"/>
    <mergeCell ref="C25:C26"/>
    <mergeCell ref="B24:C24"/>
    <mergeCell ref="G24:K24"/>
    <mergeCell ref="D25:F26"/>
    <mergeCell ref="G25:G26"/>
    <mergeCell ref="K25:K26"/>
    <mergeCell ref="B14:C14"/>
    <mergeCell ref="G14:K14"/>
    <mergeCell ref="C15:C16"/>
    <mergeCell ref="G15:G16"/>
    <mergeCell ref="D15:F16"/>
    <mergeCell ref="K15:K16"/>
    <mergeCell ref="C3:C4"/>
    <mergeCell ref="C8:C9"/>
    <mergeCell ref="G3:G4"/>
    <mergeCell ref="K3:K4"/>
    <mergeCell ref="G8:G9"/>
    <mergeCell ref="B7:C7"/>
    <mergeCell ref="G7:K7"/>
    <mergeCell ref="K8:K9"/>
    <mergeCell ref="D3:F4"/>
    <mergeCell ref="D8:F9"/>
  </mergeCells>
  <conditionalFormatting sqref="T2:T6">
    <cfRule type="cellIs" dxfId="14" priority="1" operator="greaterThan">
      <formula>0.81</formula>
    </cfRule>
    <cfRule type="cellIs" dxfId="13" priority="2" operator="between">
      <formula>0.51</formula>
      <formula>0.8</formula>
    </cfRule>
    <cfRule type="cellIs" dxfId="12" priority="3" operator="lessThan">
      <formula>0.5</formula>
    </cfRule>
  </conditionalFormatting>
  <dataValidations count="1">
    <dataValidation type="list" allowBlank="1" showInputMessage="1" showErrorMessage="1" sqref="D5:F6 D10:F13 D17:F23 D27:F28" xr:uid="{00000000-0002-0000-0200-000000000000}">
      <formula1>"X"</formula1>
    </dataValidation>
  </dataValidations>
  <pageMargins left="0.7" right="0.7" top="0.75" bottom="0.75" header="0.3" footer="0.3"/>
  <pageSetup scale="5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U39"/>
  <sheetViews>
    <sheetView tabSelected="1" view="pageBreakPreview" topLeftCell="B1" zoomScale="60" zoomScaleNormal="100" workbookViewId="0">
      <selection activeCell="B20" sqref="B20"/>
    </sheetView>
  </sheetViews>
  <sheetFormatPr baseColWidth="10" defaultColWidth="11.44140625" defaultRowHeight="15.6"/>
  <cols>
    <col min="1" max="1" width="4.109375" style="34" customWidth="1"/>
    <col min="2" max="2" width="90.6640625" style="34" customWidth="1"/>
    <col min="3" max="3" width="11.44140625" style="34"/>
    <col min="4" max="4" width="17.33203125" style="112" customWidth="1"/>
    <col min="5" max="5" width="14" style="112" bestFit="1" customWidth="1"/>
    <col min="6" max="6" width="14.6640625" style="112" bestFit="1" customWidth="1"/>
    <col min="7" max="7" width="35" style="34" customWidth="1"/>
    <col min="8" max="9" width="31.6640625" style="34" customWidth="1"/>
    <col min="10" max="10" width="23.109375" style="34" customWidth="1"/>
    <col min="11" max="11" width="39.5546875" style="34" customWidth="1"/>
    <col min="12" max="12" width="18.6640625" style="34" customWidth="1"/>
    <col min="13" max="18" width="11.44140625" style="34"/>
    <col min="19" max="19" width="87" style="34" bestFit="1" customWidth="1"/>
    <col min="20" max="20" width="9.44140625" style="34" customWidth="1"/>
    <col min="21" max="16384" width="11.44140625" style="34"/>
  </cols>
  <sheetData>
    <row r="1" spans="2:21" ht="30" customHeight="1" thickBot="1"/>
    <row r="2" spans="2:21" ht="30" customHeight="1" thickBot="1">
      <c r="B2" s="35" t="s">
        <v>205</v>
      </c>
      <c r="C2" s="57" t="s">
        <v>9</v>
      </c>
      <c r="D2" s="57" t="s">
        <v>4</v>
      </c>
      <c r="E2" s="57" t="s">
        <v>5</v>
      </c>
      <c r="F2" s="57" t="s">
        <v>6</v>
      </c>
      <c r="G2" s="57" t="s">
        <v>7</v>
      </c>
      <c r="H2" s="58" t="s">
        <v>163</v>
      </c>
      <c r="I2" s="58" t="s">
        <v>222</v>
      </c>
      <c r="J2" s="58" t="s">
        <v>223</v>
      </c>
      <c r="K2" s="58" t="s">
        <v>224</v>
      </c>
    </row>
    <row r="3" spans="2:21" ht="30" customHeight="1" thickBot="1">
      <c r="B3" s="59" t="s">
        <v>44</v>
      </c>
      <c r="C3" s="412"/>
      <c r="D3" s="406">
        <f>((D14*1)+(E14*0.5)+(F14*0))/9</f>
        <v>0.88888888888888884</v>
      </c>
      <c r="E3" s="407"/>
      <c r="F3" s="408"/>
      <c r="G3" s="414"/>
      <c r="H3" s="415"/>
      <c r="I3" s="415"/>
      <c r="J3" s="415"/>
      <c r="K3" s="416"/>
    </row>
    <row r="4" spans="2:21" ht="45" customHeight="1" thickBot="1">
      <c r="B4" s="70" t="s">
        <v>43</v>
      </c>
      <c r="C4" s="413"/>
      <c r="D4" s="409"/>
      <c r="E4" s="410"/>
      <c r="F4" s="411"/>
      <c r="G4" s="417"/>
      <c r="H4" s="418"/>
      <c r="I4" s="418"/>
      <c r="J4" s="418"/>
      <c r="K4" s="419"/>
      <c r="S4" s="113" t="str">
        <f>B3</f>
        <v>5.1 Liderazgo y compromiso</v>
      </c>
      <c r="T4" s="108">
        <f>D3</f>
        <v>0.88888888888888884</v>
      </c>
    </row>
    <row r="5" spans="2:21" ht="47.25" customHeight="1" thickBot="1">
      <c r="B5" s="51" t="s">
        <v>54</v>
      </c>
      <c r="C5" s="220"/>
      <c r="D5" s="221"/>
      <c r="E5" s="221" t="s">
        <v>212</v>
      </c>
      <c r="F5" s="221"/>
      <c r="G5" s="222" t="s">
        <v>221</v>
      </c>
      <c r="H5" s="287" t="s">
        <v>251</v>
      </c>
      <c r="I5" s="287" t="s">
        <v>220</v>
      </c>
      <c r="J5" s="369">
        <v>44242</v>
      </c>
      <c r="K5" s="227" t="s">
        <v>225</v>
      </c>
      <c r="S5" s="116" t="str">
        <f>B15</f>
        <v>5.2 Política Ambiental</v>
      </c>
      <c r="T5" s="110">
        <f>D15</f>
        <v>1</v>
      </c>
    </row>
    <row r="6" spans="2:21" ht="62.25" customHeight="1" thickBot="1">
      <c r="B6" s="51" t="s">
        <v>55</v>
      </c>
      <c r="C6" s="224"/>
      <c r="D6" s="225" t="s">
        <v>212</v>
      </c>
      <c r="E6" s="225"/>
      <c r="F6" s="225"/>
      <c r="G6" s="209" t="s">
        <v>226</v>
      </c>
      <c r="H6" s="287"/>
      <c r="I6" s="287"/>
      <c r="J6" s="369"/>
      <c r="K6" s="227"/>
      <c r="S6" s="114" t="str">
        <f>B27</f>
        <v>5.3. Roles, responsabilidades y autoridades en la organización</v>
      </c>
      <c r="T6" s="110">
        <f>D27</f>
        <v>0.75</v>
      </c>
    </row>
    <row r="7" spans="2:21" ht="30" customHeight="1" thickBot="1">
      <c r="B7" s="51" t="s">
        <v>57</v>
      </c>
      <c r="C7" s="224"/>
      <c r="D7" s="225" t="s">
        <v>212</v>
      </c>
      <c r="E7" s="221"/>
      <c r="F7" s="225"/>
      <c r="G7" s="209" t="s">
        <v>227</v>
      </c>
      <c r="H7" s="227"/>
      <c r="I7" s="227"/>
      <c r="J7" s="227"/>
      <c r="K7" s="227"/>
      <c r="S7" s="115" t="str">
        <f>B2</f>
        <v>5. LIDERAZGO</v>
      </c>
      <c r="T7" s="110">
        <f>AVERAGE(T4:T6)</f>
        <v>0.87962962962962965</v>
      </c>
    </row>
    <row r="8" spans="2:21" ht="30" customHeight="1">
      <c r="B8" s="51" t="s">
        <v>56</v>
      </c>
      <c r="C8" s="224"/>
      <c r="D8" s="225" t="s">
        <v>212</v>
      </c>
      <c r="E8" s="221"/>
      <c r="F8" s="225"/>
      <c r="G8" s="226" t="s">
        <v>228</v>
      </c>
      <c r="H8" s="227"/>
      <c r="I8" s="227"/>
      <c r="J8" s="227"/>
      <c r="K8" s="227"/>
    </row>
    <row r="9" spans="2:21" ht="30" customHeight="1">
      <c r="B9" s="51" t="s">
        <v>58</v>
      </c>
      <c r="C9" s="224"/>
      <c r="D9" s="225" t="s">
        <v>212</v>
      </c>
      <c r="E9" s="221"/>
      <c r="F9" s="225"/>
      <c r="G9" s="226" t="s">
        <v>252</v>
      </c>
      <c r="H9" s="368"/>
      <c r="I9" s="368"/>
      <c r="J9" s="368"/>
      <c r="K9" s="228"/>
      <c r="S9"/>
      <c r="T9"/>
      <c r="U9"/>
    </row>
    <row r="10" spans="2:21" ht="30" customHeight="1">
      <c r="B10" s="51" t="s">
        <v>164</v>
      </c>
      <c r="C10" s="224"/>
      <c r="D10" s="225"/>
      <c r="E10" s="221" t="s">
        <v>212</v>
      </c>
      <c r="F10" s="225"/>
      <c r="G10" s="209" t="s">
        <v>229</v>
      </c>
      <c r="H10" s="368"/>
      <c r="I10" s="287" t="s">
        <v>253</v>
      </c>
      <c r="J10" s="368"/>
      <c r="K10" s="229"/>
      <c r="S10"/>
      <c r="T10"/>
      <c r="U10"/>
    </row>
    <row r="11" spans="2:21" ht="43.5" customHeight="1">
      <c r="B11" s="49" t="s">
        <v>230</v>
      </c>
      <c r="C11" s="224"/>
      <c r="D11" s="225" t="s">
        <v>212</v>
      </c>
      <c r="E11" s="221"/>
      <c r="F11" s="225"/>
      <c r="G11" s="209" t="s">
        <v>231</v>
      </c>
      <c r="H11" s="368"/>
      <c r="I11" s="368"/>
      <c r="J11" s="368"/>
      <c r="K11" s="370"/>
      <c r="S11"/>
      <c r="T11"/>
      <c r="U11"/>
    </row>
    <row r="12" spans="2:21" ht="30" customHeight="1">
      <c r="B12" s="51" t="s">
        <v>165</v>
      </c>
      <c r="C12" s="224"/>
      <c r="D12" s="225" t="s">
        <v>212</v>
      </c>
      <c r="E12" s="221"/>
      <c r="F12" s="225"/>
      <c r="G12" s="226" t="s">
        <v>232</v>
      </c>
      <c r="H12" s="368"/>
      <c r="I12" s="368"/>
      <c r="J12" s="368"/>
      <c r="K12" s="227"/>
      <c r="S12"/>
      <c r="T12"/>
      <c r="U12"/>
    </row>
    <row r="13" spans="2:21" ht="51" customHeight="1" thickBot="1">
      <c r="B13" s="71" t="s">
        <v>166</v>
      </c>
      <c r="C13" s="231"/>
      <c r="D13" s="232" t="s">
        <v>212</v>
      </c>
      <c r="E13" s="221"/>
      <c r="F13" s="232"/>
      <c r="G13" s="233" t="s">
        <v>236</v>
      </c>
      <c r="H13" s="368"/>
      <c r="I13" s="287" t="s">
        <v>233</v>
      </c>
      <c r="J13" s="368" t="s">
        <v>234</v>
      </c>
      <c r="K13" s="234" t="s">
        <v>235</v>
      </c>
    </row>
    <row r="14" spans="2:21" ht="30" customHeight="1" thickBot="1">
      <c r="B14" s="403"/>
      <c r="C14" s="404"/>
      <c r="D14" s="65">
        <f>COUNTIF(D5:D13,"X")</f>
        <v>7</v>
      </c>
      <c r="E14" s="65">
        <f>COUNTIF(E5:E13,"X")</f>
        <v>2</v>
      </c>
      <c r="F14" s="63">
        <f>COUNTIF(F5:F13,"X")</f>
        <v>0</v>
      </c>
      <c r="G14" s="403"/>
      <c r="H14" s="405"/>
      <c r="I14" s="405"/>
      <c r="J14" s="405"/>
      <c r="K14" s="404"/>
    </row>
    <row r="15" spans="2:21" ht="30" customHeight="1">
      <c r="B15" s="61" t="s">
        <v>326</v>
      </c>
      <c r="C15" s="412"/>
      <c r="D15" s="429">
        <f>((D26*1)+(E26*0.5)+(F26*0))/8</f>
        <v>1</v>
      </c>
      <c r="E15" s="430"/>
      <c r="F15" s="431"/>
      <c r="G15" s="420"/>
      <c r="H15" s="421"/>
      <c r="I15" s="421"/>
      <c r="J15" s="421"/>
      <c r="K15" s="422"/>
    </row>
    <row r="16" spans="2:21" ht="47.25" customHeight="1" thickBot="1">
      <c r="B16" s="60" t="s">
        <v>59</v>
      </c>
      <c r="C16" s="413"/>
      <c r="D16" s="403"/>
      <c r="E16" s="405"/>
      <c r="F16" s="404"/>
      <c r="G16" s="423"/>
      <c r="H16" s="424"/>
      <c r="I16" s="424"/>
      <c r="J16" s="424"/>
      <c r="K16" s="425"/>
    </row>
    <row r="17" spans="2:11" ht="54.75" customHeight="1">
      <c r="B17" s="38" t="s">
        <v>61</v>
      </c>
      <c r="C17" s="218"/>
      <c r="D17" s="235" t="s">
        <v>212</v>
      </c>
      <c r="E17" s="221"/>
      <c r="F17" s="236"/>
      <c r="G17" s="371" t="s">
        <v>241</v>
      </c>
      <c r="H17" s="368"/>
      <c r="I17" s="368"/>
      <c r="J17" s="368"/>
      <c r="K17" s="237"/>
    </row>
    <row r="18" spans="2:11" ht="51" customHeight="1">
      <c r="B18" s="111" t="s">
        <v>169</v>
      </c>
      <c r="C18" s="218"/>
      <c r="D18" s="235" t="s">
        <v>212</v>
      </c>
      <c r="E18" s="225"/>
      <c r="F18" s="239"/>
      <c r="G18" s="372" t="s">
        <v>237</v>
      </c>
      <c r="H18" s="368"/>
      <c r="I18" s="368"/>
      <c r="J18" s="368"/>
      <c r="K18" s="227"/>
    </row>
    <row r="19" spans="2:11" ht="48.75" customHeight="1">
      <c r="B19" s="38" t="s">
        <v>60</v>
      </c>
      <c r="C19" s="218"/>
      <c r="D19" s="235" t="s">
        <v>212</v>
      </c>
      <c r="E19" s="225"/>
      <c r="F19" s="239"/>
      <c r="G19" s="373" t="s">
        <v>238</v>
      </c>
      <c r="H19" s="368"/>
      <c r="I19" s="368"/>
      <c r="J19" s="368"/>
      <c r="K19" s="227"/>
    </row>
    <row r="20" spans="2:11" ht="55.5" customHeight="1">
      <c r="B20" s="53" t="s">
        <v>168</v>
      </c>
      <c r="C20" s="218"/>
      <c r="D20" s="235" t="s">
        <v>212</v>
      </c>
      <c r="E20" s="225"/>
      <c r="F20" s="239"/>
      <c r="G20" s="372" t="s">
        <v>239</v>
      </c>
      <c r="H20" s="368"/>
      <c r="I20" s="368"/>
      <c r="J20" s="368"/>
      <c r="K20" s="227"/>
    </row>
    <row r="21" spans="2:11" ht="57" customHeight="1" thickBot="1">
      <c r="B21" s="55" t="s">
        <v>167</v>
      </c>
      <c r="C21" s="241"/>
      <c r="D21" s="235" t="s">
        <v>212</v>
      </c>
      <c r="E21" s="225"/>
      <c r="F21" s="239"/>
      <c r="G21" s="372" t="s">
        <v>240</v>
      </c>
      <c r="H21" s="368"/>
      <c r="I21" s="368"/>
      <c r="J21" s="368"/>
      <c r="K21" s="227"/>
    </row>
    <row r="22" spans="2:11" ht="30" customHeight="1" thickBot="1">
      <c r="B22" s="60" t="s">
        <v>62</v>
      </c>
      <c r="C22" s="434"/>
      <c r="D22" s="435"/>
      <c r="E22" s="435"/>
      <c r="F22" s="435"/>
      <c r="G22" s="435"/>
      <c r="H22" s="436"/>
      <c r="I22" s="436"/>
      <c r="J22" s="436"/>
      <c r="K22" s="437"/>
    </row>
    <row r="23" spans="2:11" s="73" customFormat="1" ht="58.5" customHeight="1">
      <c r="B23" s="72" t="s">
        <v>170</v>
      </c>
      <c r="C23" s="217"/>
      <c r="D23" s="235" t="s">
        <v>212</v>
      </c>
      <c r="E23" s="221"/>
      <c r="F23" s="236"/>
      <c r="G23" s="374" t="s">
        <v>242</v>
      </c>
      <c r="H23" s="376"/>
      <c r="I23" s="376"/>
      <c r="J23" s="376"/>
      <c r="K23" s="242"/>
    </row>
    <row r="24" spans="2:11" s="73" customFormat="1" ht="77.25" customHeight="1">
      <c r="B24" s="72" t="s">
        <v>171</v>
      </c>
      <c r="C24" s="218"/>
      <c r="D24" s="238" t="s">
        <v>212</v>
      </c>
      <c r="E24" s="225"/>
      <c r="F24" s="239"/>
      <c r="G24" s="373" t="s">
        <v>243</v>
      </c>
      <c r="H24" s="376"/>
      <c r="I24" s="376"/>
      <c r="J24" s="376"/>
      <c r="K24" s="243"/>
    </row>
    <row r="25" spans="2:11" s="73" customFormat="1" ht="41.25" customHeight="1" thickBot="1">
      <c r="B25" s="72" t="s">
        <v>172</v>
      </c>
      <c r="C25" s="218"/>
      <c r="D25" s="244" t="s">
        <v>212</v>
      </c>
      <c r="E25" s="232"/>
      <c r="F25" s="245"/>
      <c r="G25" s="375" t="s">
        <v>244</v>
      </c>
      <c r="H25" s="366"/>
      <c r="I25" s="366"/>
      <c r="J25" s="366"/>
      <c r="K25" s="246"/>
    </row>
    <row r="26" spans="2:11" s="39" customFormat="1" ht="30" customHeight="1" thickBot="1">
      <c r="B26" s="432"/>
      <c r="C26" s="433"/>
      <c r="D26" s="65">
        <f>COUNTIF(D17:D25,"X")</f>
        <v>8</v>
      </c>
      <c r="E26" s="65">
        <f>COUNTIF(E17:E25,"X")</f>
        <v>0</v>
      </c>
      <c r="F26" s="65">
        <f>COUNTIF(F17:F25,"X")</f>
        <v>0</v>
      </c>
      <c r="G26" s="40"/>
      <c r="H26" s="367"/>
      <c r="I26" s="367"/>
      <c r="J26" s="367"/>
      <c r="K26" s="41"/>
    </row>
    <row r="27" spans="2:11" ht="30" customHeight="1">
      <c r="B27" s="62" t="s">
        <v>3</v>
      </c>
      <c r="C27" s="412"/>
      <c r="D27" s="441">
        <f>((D32*1)+(E32*0.5)+(F32*0))/2</f>
        <v>0.75</v>
      </c>
      <c r="E27" s="442"/>
      <c r="F27" s="443"/>
      <c r="G27" s="420"/>
      <c r="H27" s="421"/>
      <c r="I27" s="421"/>
      <c r="J27" s="421"/>
      <c r="K27" s="422"/>
    </row>
    <row r="28" spans="2:11" ht="84" customHeight="1">
      <c r="B28" s="66" t="s">
        <v>63</v>
      </c>
      <c r="C28" s="438"/>
      <c r="D28" s="444"/>
      <c r="E28" s="445"/>
      <c r="F28" s="446"/>
      <c r="G28" s="439"/>
      <c r="H28" s="424"/>
      <c r="I28" s="424"/>
      <c r="J28" s="424"/>
      <c r="K28" s="440"/>
    </row>
    <row r="29" spans="2:11" ht="26.25" customHeight="1" thickBot="1">
      <c r="B29" s="67" t="s">
        <v>64</v>
      </c>
      <c r="C29" s="438"/>
      <c r="D29" s="444"/>
      <c r="E29" s="445"/>
      <c r="F29" s="446"/>
      <c r="G29" s="439"/>
      <c r="H29" s="424"/>
      <c r="I29" s="424"/>
      <c r="J29" s="424"/>
      <c r="K29" s="440"/>
    </row>
    <row r="30" spans="2:11" ht="45" customHeight="1">
      <c r="B30" s="68" t="s">
        <v>65</v>
      </c>
      <c r="C30" s="200"/>
      <c r="D30" s="247" t="s">
        <v>212</v>
      </c>
      <c r="E30" s="248"/>
      <c r="F30" s="249"/>
      <c r="G30" s="371" t="s">
        <v>245</v>
      </c>
      <c r="H30" s="368"/>
      <c r="I30" s="368"/>
      <c r="J30" s="368"/>
      <c r="K30" s="223"/>
    </row>
    <row r="31" spans="2:11" ht="52.5" customHeight="1" thickBot="1">
      <c r="B31" s="69" t="s">
        <v>66</v>
      </c>
      <c r="C31" s="250"/>
      <c r="D31" s="251"/>
      <c r="E31" s="252" t="s">
        <v>212</v>
      </c>
      <c r="F31" s="253"/>
      <c r="G31" s="254" t="s">
        <v>246</v>
      </c>
      <c r="H31" s="287" t="s">
        <v>247</v>
      </c>
      <c r="I31" s="287" t="s">
        <v>248</v>
      </c>
      <c r="J31" s="377">
        <v>44255</v>
      </c>
      <c r="K31" s="234"/>
    </row>
    <row r="32" spans="2:11" s="39" customFormat="1" ht="30" customHeight="1" thickBot="1">
      <c r="B32" s="426"/>
      <c r="C32" s="427"/>
      <c r="D32" s="65">
        <f>COUNTIF(D30:D31,"X")</f>
        <v>1</v>
      </c>
      <c r="E32" s="65">
        <f>COUNTIF(E30:E31,"X")</f>
        <v>1</v>
      </c>
      <c r="F32" s="65">
        <f>COUNTIF(F30:F31,"X")</f>
        <v>0</v>
      </c>
      <c r="G32" s="426"/>
      <c r="H32" s="428"/>
      <c r="I32" s="428"/>
      <c r="J32" s="428"/>
      <c r="K32" s="427"/>
    </row>
    <row r="39" spans="8:8">
      <c r="H39" s="34" t="s">
        <v>250</v>
      </c>
    </row>
  </sheetData>
  <mergeCells count="15">
    <mergeCell ref="G15:K16"/>
    <mergeCell ref="C15:C16"/>
    <mergeCell ref="B32:C32"/>
    <mergeCell ref="G32:K32"/>
    <mergeCell ref="D15:F16"/>
    <mergeCell ref="B26:C26"/>
    <mergeCell ref="C22:K22"/>
    <mergeCell ref="C27:C29"/>
    <mergeCell ref="G27:K29"/>
    <mergeCell ref="D27:F29"/>
    <mergeCell ref="B14:C14"/>
    <mergeCell ref="G14:K14"/>
    <mergeCell ref="D3:F4"/>
    <mergeCell ref="C3:C4"/>
    <mergeCell ref="G3:K4"/>
  </mergeCells>
  <conditionalFormatting sqref="T4:T7">
    <cfRule type="cellIs" dxfId="11" priority="1" operator="greaterThan">
      <formula>0.81</formula>
    </cfRule>
    <cfRule type="cellIs" dxfId="10" priority="2" operator="between">
      <formula>0.51</formula>
      <formula>0.8</formula>
    </cfRule>
    <cfRule type="cellIs" dxfId="9" priority="3" operator="lessThan">
      <formula>0.5</formula>
    </cfRule>
  </conditionalFormatting>
  <dataValidations count="1">
    <dataValidation type="list" allowBlank="1" showInputMessage="1" showErrorMessage="1" sqref="C5:F13 D23:F25 D30:F31 D17:F21" xr:uid="{00000000-0002-0000-0300-000000000000}">
      <formula1>"X"</formula1>
    </dataValidation>
  </dataValidations>
  <pageMargins left="0.7" right="0.7" top="0.75" bottom="0.75" header="0.3" footer="0.3"/>
  <pageSetup scale="5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7410-6E98-4594-A7F7-F508B54830DC}">
  <dimension ref="B1:Y46"/>
  <sheetViews>
    <sheetView topLeftCell="A32" zoomScale="75" zoomScaleNormal="75" zoomScaleSheetLayoutView="55" workbookViewId="0">
      <selection activeCell="B38" sqref="B38"/>
    </sheetView>
  </sheetViews>
  <sheetFormatPr baseColWidth="10" defaultColWidth="11.44140625" defaultRowHeight="15.6"/>
  <cols>
    <col min="1" max="1" width="4.109375" style="34" customWidth="1"/>
    <col min="2" max="2" width="90.6640625" style="34" customWidth="1"/>
    <col min="3" max="3" width="11.44140625" style="34"/>
    <col min="4" max="4" width="16.33203125" style="34" customWidth="1"/>
    <col min="5" max="5" width="13.44140625" style="34" customWidth="1"/>
    <col min="6" max="6" width="17.33203125" style="34" customWidth="1"/>
    <col min="7" max="7" width="36.33203125" style="34" customWidth="1"/>
    <col min="8" max="9" width="31.6640625" style="34" customWidth="1"/>
    <col min="10" max="10" width="24.109375" style="34" customWidth="1"/>
    <col min="11" max="11" width="35.6640625" style="34" customWidth="1"/>
    <col min="12" max="12" width="18.6640625" style="34" customWidth="1"/>
    <col min="13" max="23" width="11.44140625" style="34"/>
    <col min="24" max="24" width="77.88671875" style="34" customWidth="1"/>
    <col min="25" max="25" width="10" style="43" bestFit="1" customWidth="1"/>
    <col min="26" max="16384" width="11.44140625" style="34"/>
  </cols>
  <sheetData>
    <row r="1" spans="2:25" ht="30" customHeight="1" thickBot="1"/>
    <row r="2" spans="2:25" ht="30" customHeight="1" thickBot="1">
      <c r="B2" s="75" t="s">
        <v>179</v>
      </c>
      <c r="C2" s="57" t="s">
        <v>9</v>
      </c>
      <c r="D2" s="57" t="s">
        <v>4</v>
      </c>
      <c r="E2" s="57" t="s">
        <v>5</v>
      </c>
      <c r="F2" s="57" t="s">
        <v>6</v>
      </c>
      <c r="G2" s="57" t="s">
        <v>7</v>
      </c>
      <c r="H2" s="58" t="s">
        <v>8</v>
      </c>
      <c r="I2" s="378" t="s">
        <v>222</v>
      </c>
      <c r="J2" s="378" t="s">
        <v>210</v>
      </c>
      <c r="K2" s="58" t="s">
        <v>224</v>
      </c>
    </row>
    <row r="3" spans="2:25" ht="30" customHeight="1" thickBot="1">
      <c r="B3" s="90" t="s">
        <v>34</v>
      </c>
      <c r="C3" s="119"/>
      <c r="D3" s="447">
        <f>AVERAGE(D4,D14,D22,D28)</f>
        <v>0.86458333333333326</v>
      </c>
      <c r="E3" s="448"/>
      <c r="F3" s="449"/>
      <c r="G3" s="450"/>
      <c r="H3" s="451"/>
      <c r="I3" s="451"/>
      <c r="J3" s="451"/>
      <c r="K3" s="452"/>
    </row>
    <row r="4" spans="2:25" ht="30" customHeight="1" thickBot="1">
      <c r="B4" s="117" t="s">
        <v>87</v>
      </c>
      <c r="C4" s="122"/>
      <c r="D4" s="459">
        <f>((D13*1)+(E13*0.5)+(F13*0))/8</f>
        <v>0.875</v>
      </c>
      <c r="E4" s="460"/>
      <c r="F4" s="465"/>
      <c r="G4" s="458"/>
      <c r="H4" s="394"/>
      <c r="I4" s="394"/>
      <c r="J4" s="394"/>
      <c r="K4" s="394"/>
      <c r="Y4" s="126"/>
    </row>
    <row r="5" spans="2:25" ht="30" customHeight="1" thickBot="1">
      <c r="B5" s="86" t="s">
        <v>67</v>
      </c>
      <c r="C5" s="220"/>
      <c r="D5" s="247" t="s">
        <v>212</v>
      </c>
      <c r="E5" s="248"/>
      <c r="F5" s="225"/>
      <c r="G5" s="368" t="s">
        <v>249</v>
      </c>
      <c r="H5" s="368"/>
      <c r="I5" s="368"/>
      <c r="J5" s="368"/>
      <c r="K5" s="368"/>
      <c r="X5" s="128" t="str">
        <f>B3</f>
        <v xml:space="preserve">6.1 Acciones para abordar riesgos  y oportunidades </v>
      </c>
      <c r="Y5" s="108">
        <f>D3</f>
        <v>0.86458333333333326</v>
      </c>
    </row>
    <row r="6" spans="2:25" ht="30" customHeight="1" thickBot="1">
      <c r="B6" s="76" t="s">
        <v>68</v>
      </c>
      <c r="C6" s="224"/>
      <c r="D6" s="255" t="s">
        <v>212</v>
      </c>
      <c r="E6" s="225"/>
      <c r="F6" s="225"/>
      <c r="G6" s="368" t="s">
        <v>254</v>
      </c>
      <c r="H6" s="287" t="s">
        <v>255</v>
      </c>
      <c r="I6" s="287" t="s">
        <v>216</v>
      </c>
      <c r="J6" s="363">
        <v>44236</v>
      </c>
      <c r="K6" s="287" t="s">
        <v>217</v>
      </c>
      <c r="X6" s="129" t="str">
        <f>B4</f>
        <v xml:space="preserve">6.1.1 Generalidades  </v>
      </c>
      <c r="Y6" s="127">
        <f>D4</f>
        <v>0.875</v>
      </c>
    </row>
    <row r="7" spans="2:25" ht="30" customHeight="1" thickBot="1">
      <c r="B7" s="76" t="s">
        <v>256</v>
      </c>
      <c r="C7" s="224"/>
      <c r="D7" s="255"/>
      <c r="E7" s="225" t="s">
        <v>212</v>
      </c>
      <c r="F7" s="225"/>
      <c r="G7" s="368" t="s">
        <v>257</v>
      </c>
      <c r="H7" s="287" t="s">
        <v>264</v>
      </c>
      <c r="I7" s="287" t="s">
        <v>258</v>
      </c>
      <c r="J7" s="377">
        <v>44283</v>
      </c>
      <c r="K7" s="287" t="s">
        <v>265</v>
      </c>
      <c r="X7" s="130" t="str">
        <f>B14</f>
        <v>6.1.2 Aspectos ambientales</v>
      </c>
      <c r="Y7" s="127">
        <f>D14</f>
        <v>0.91666666666666663</v>
      </c>
    </row>
    <row r="8" spans="2:25" ht="30" customHeight="1" thickBot="1">
      <c r="B8" s="76" t="s">
        <v>70</v>
      </c>
      <c r="C8" s="224"/>
      <c r="D8" s="255" t="s">
        <v>212</v>
      </c>
      <c r="E8" s="225"/>
      <c r="F8" s="225"/>
      <c r="G8" s="368"/>
      <c r="H8" s="368"/>
      <c r="I8" s="368"/>
      <c r="J8" s="368"/>
      <c r="K8" s="368"/>
      <c r="X8" s="131" t="str">
        <f>B22</f>
        <v>6.1.3 Requisitos legales y otros requisitos</v>
      </c>
      <c r="Y8" s="127">
        <f>D22</f>
        <v>1</v>
      </c>
    </row>
    <row r="9" spans="2:25" ht="30" customHeight="1" thickBot="1">
      <c r="B9" s="76" t="s">
        <v>69</v>
      </c>
      <c r="C9" s="224"/>
      <c r="D9" s="255" t="s">
        <v>212</v>
      </c>
      <c r="E9" s="225"/>
      <c r="F9" s="225"/>
      <c r="G9" s="368"/>
      <c r="H9" s="368"/>
      <c r="I9" s="368"/>
      <c r="J9" s="368"/>
      <c r="K9" s="368"/>
      <c r="X9" s="131" t="str">
        <f>B28</f>
        <v>6.1.4 Planificación de acciones</v>
      </c>
      <c r="Y9" s="127">
        <f>D28</f>
        <v>0.66666666666666663</v>
      </c>
    </row>
    <row r="10" spans="2:25" ht="30" customHeight="1" thickBot="1">
      <c r="B10" s="77" t="s">
        <v>71</v>
      </c>
      <c r="C10" s="224"/>
      <c r="D10" s="255" t="s">
        <v>212</v>
      </c>
      <c r="E10" s="225"/>
      <c r="F10" s="225"/>
      <c r="G10" s="368"/>
      <c r="H10" s="368"/>
      <c r="I10" s="368"/>
      <c r="J10" s="368"/>
      <c r="K10" s="368"/>
      <c r="X10" s="133" t="str">
        <f>B33</f>
        <v>6.2 Objetivos ambientales y planificación para lograrlos</v>
      </c>
      <c r="Y10" s="127">
        <f>D33</f>
        <v>0.91666666666666674</v>
      </c>
    </row>
    <row r="11" spans="2:25" ht="42.75" customHeight="1" thickBot="1">
      <c r="B11" s="77" t="s">
        <v>73</v>
      </c>
      <c r="C11" s="224"/>
      <c r="D11" s="255"/>
      <c r="E11" s="225" t="s">
        <v>212</v>
      </c>
      <c r="F11" s="225"/>
      <c r="G11" s="368" t="s">
        <v>259</v>
      </c>
      <c r="H11" s="287" t="s">
        <v>324</v>
      </c>
      <c r="I11" s="368" t="s">
        <v>260</v>
      </c>
      <c r="J11" s="377">
        <v>44255</v>
      </c>
      <c r="K11" s="287" t="s">
        <v>217</v>
      </c>
      <c r="X11" s="130" t="str">
        <f>B34</f>
        <v>6.2.1 Objetivos ambientales</v>
      </c>
      <c r="Y11" s="127">
        <f>D34</f>
        <v>0.83333333333333337</v>
      </c>
    </row>
    <row r="12" spans="2:25" ht="30" customHeight="1" thickBot="1">
      <c r="B12" s="87" t="s">
        <v>72</v>
      </c>
      <c r="C12" s="231"/>
      <c r="D12" s="251" t="s">
        <v>212</v>
      </c>
      <c r="E12" s="252"/>
      <c r="F12" s="225"/>
      <c r="G12" s="368" t="s">
        <v>261</v>
      </c>
      <c r="H12" s="368"/>
      <c r="I12" s="368"/>
      <c r="J12" s="368"/>
      <c r="K12" s="368"/>
      <c r="X12" s="130" t="str">
        <f>B43</f>
        <v>6.2.2 Planificación de acciones para lograr los objetivos ambientales</v>
      </c>
      <c r="Y12" s="127">
        <f>D43</f>
        <v>1</v>
      </c>
    </row>
    <row r="13" spans="2:25" ht="30" customHeight="1" thickBot="1">
      <c r="B13" s="403"/>
      <c r="C13" s="404"/>
      <c r="D13" s="65">
        <f>COUNTIF(D5:D12,"X")</f>
        <v>6</v>
      </c>
      <c r="E13" s="65">
        <f>COUNTIF(E5:E12,"X")</f>
        <v>2</v>
      </c>
      <c r="F13" s="118">
        <f>COUNTIF(F5:F12,"X")</f>
        <v>0</v>
      </c>
      <c r="G13" s="403"/>
      <c r="H13" s="405"/>
      <c r="I13" s="405"/>
      <c r="J13" s="405"/>
      <c r="K13" s="404"/>
      <c r="X13" s="132" t="str">
        <f>B2</f>
        <v>6. PLANIFICACIÓN</v>
      </c>
      <c r="Y13" s="127">
        <f>AVERAGE(Y5:Y12)</f>
        <v>0.88411458333333337</v>
      </c>
    </row>
    <row r="14" spans="2:25" ht="30" customHeight="1" thickBot="1">
      <c r="B14" s="121" t="s">
        <v>74</v>
      </c>
      <c r="C14" s="122"/>
      <c r="D14" s="459">
        <f>((D21*1)+(E21*0.5)+(F21*0))/6</f>
        <v>0.91666666666666663</v>
      </c>
      <c r="E14" s="460"/>
      <c r="F14" s="461"/>
      <c r="G14" s="462"/>
      <c r="H14" s="463"/>
      <c r="I14" s="451"/>
      <c r="J14" s="463"/>
      <c r="K14" s="464"/>
      <c r="X14"/>
      <c r="Y14"/>
    </row>
    <row r="15" spans="2:25" ht="30" customHeight="1">
      <c r="B15" s="89" t="s">
        <v>75</v>
      </c>
      <c r="C15" s="217"/>
      <c r="D15" s="235"/>
      <c r="E15" s="235" t="s">
        <v>212</v>
      </c>
      <c r="F15" s="235"/>
      <c r="G15" s="287" t="s">
        <v>262</v>
      </c>
      <c r="H15" s="287" t="s">
        <v>263</v>
      </c>
      <c r="I15" s="287" t="s">
        <v>268</v>
      </c>
      <c r="J15" s="377">
        <v>44255</v>
      </c>
      <c r="K15" s="287" t="s">
        <v>217</v>
      </c>
      <c r="X15"/>
      <c r="Y15"/>
    </row>
    <row r="16" spans="2:25" ht="45.75" customHeight="1">
      <c r="B16" s="83" t="s">
        <v>76</v>
      </c>
      <c r="C16" s="218"/>
      <c r="D16" s="235" t="s">
        <v>212</v>
      </c>
      <c r="E16" s="235"/>
      <c r="F16" s="235"/>
      <c r="G16" s="240" t="s">
        <v>266</v>
      </c>
      <c r="H16" s="287"/>
      <c r="I16" s="368"/>
      <c r="J16" s="368"/>
      <c r="K16" s="227"/>
    </row>
    <row r="17" spans="2:25" ht="30" customHeight="1">
      <c r="B17" s="77" t="s">
        <v>77</v>
      </c>
      <c r="C17" s="218"/>
      <c r="D17" s="235" t="s">
        <v>212</v>
      </c>
      <c r="E17" s="235"/>
      <c r="F17" s="235"/>
      <c r="G17" s="287" t="s">
        <v>262</v>
      </c>
      <c r="H17" s="368"/>
      <c r="I17" s="368"/>
      <c r="J17" s="368"/>
      <c r="K17" s="227"/>
    </row>
    <row r="18" spans="2:25" ht="30" customHeight="1">
      <c r="B18" s="77" t="s">
        <v>78</v>
      </c>
      <c r="C18" s="218"/>
      <c r="D18" s="235" t="s">
        <v>212</v>
      </c>
      <c r="E18" s="235"/>
      <c r="F18" s="235"/>
      <c r="G18" s="287" t="s">
        <v>262</v>
      </c>
      <c r="H18" s="368"/>
      <c r="I18" s="368"/>
      <c r="J18" s="368"/>
      <c r="K18" s="227"/>
    </row>
    <row r="19" spans="2:25" ht="30" customHeight="1">
      <c r="B19" s="84" t="s">
        <v>79</v>
      </c>
      <c r="C19" s="241"/>
      <c r="D19" s="235" t="s">
        <v>212</v>
      </c>
      <c r="E19" s="235"/>
      <c r="F19" s="235"/>
      <c r="G19" s="287" t="s">
        <v>262</v>
      </c>
      <c r="H19" s="368"/>
      <c r="I19" s="368"/>
      <c r="J19" s="368"/>
      <c r="K19" s="227"/>
    </row>
    <row r="20" spans="2:25" ht="30" customHeight="1" thickBot="1">
      <c r="B20" s="85" t="s">
        <v>88</v>
      </c>
      <c r="C20" s="218"/>
      <c r="D20" s="235" t="s">
        <v>212</v>
      </c>
      <c r="E20" s="235"/>
      <c r="F20" s="235"/>
      <c r="G20" s="287" t="s">
        <v>262</v>
      </c>
      <c r="H20" s="368"/>
      <c r="I20" s="368"/>
      <c r="J20" s="368"/>
      <c r="K20" s="227"/>
    </row>
    <row r="21" spans="2:25" s="39" customFormat="1" ht="30" customHeight="1" thickBot="1">
      <c r="B21" s="432"/>
      <c r="C21" s="433"/>
      <c r="D21" s="65">
        <f>COUNTIF(D15:D20,"X")</f>
        <v>5</v>
      </c>
      <c r="E21" s="65">
        <f>COUNTIF(E15:E20,"X")</f>
        <v>1</v>
      </c>
      <c r="F21" s="65">
        <f>COUNTIF(F15:F20,"X")</f>
        <v>0</v>
      </c>
      <c r="G21" s="40"/>
      <c r="H21" s="382"/>
      <c r="I21" s="382"/>
      <c r="J21" s="382"/>
      <c r="K21" s="41"/>
      <c r="Y21" s="105"/>
    </row>
    <row r="22" spans="2:25" ht="30" customHeight="1" thickBot="1">
      <c r="B22" s="121" t="s">
        <v>80</v>
      </c>
      <c r="C22" s="122"/>
      <c r="D22" s="459">
        <f>((D27*1)+(E27*0.5)+(F27*0))/4</f>
        <v>1</v>
      </c>
      <c r="E22" s="460"/>
      <c r="F22" s="461"/>
      <c r="G22" s="450"/>
      <c r="H22" s="451"/>
      <c r="I22" s="451"/>
      <c r="J22" s="463"/>
      <c r="K22" s="464"/>
    </row>
    <row r="23" spans="2:25" ht="30" customHeight="1">
      <c r="B23" s="77" t="s">
        <v>81</v>
      </c>
      <c r="C23" s="256"/>
      <c r="D23" s="235" t="s">
        <v>212</v>
      </c>
      <c r="E23" s="235"/>
      <c r="F23" s="383"/>
      <c r="G23" s="368" t="s">
        <v>267</v>
      </c>
      <c r="H23" s="368"/>
      <c r="I23" s="368"/>
      <c r="J23" s="364"/>
      <c r="K23" s="227"/>
    </row>
    <row r="24" spans="2:25" ht="30" customHeight="1">
      <c r="B24" s="77" t="s">
        <v>82</v>
      </c>
      <c r="C24" s="256"/>
      <c r="D24" s="235" t="s">
        <v>212</v>
      </c>
      <c r="E24" s="235"/>
      <c r="F24" s="383"/>
      <c r="G24" s="368" t="s">
        <v>267</v>
      </c>
      <c r="H24" s="368"/>
      <c r="I24" s="368"/>
      <c r="J24" s="364"/>
      <c r="K24" s="227"/>
    </row>
    <row r="25" spans="2:25" ht="30" customHeight="1">
      <c r="B25" s="79" t="s">
        <v>83</v>
      </c>
      <c r="C25" s="256"/>
      <c r="D25" s="235" t="s">
        <v>212</v>
      </c>
      <c r="E25" s="235"/>
      <c r="F25" s="383"/>
      <c r="G25" s="368" t="s">
        <v>267</v>
      </c>
      <c r="H25" s="368"/>
      <c r="I25" s="368"/>
      <c r="J25" s="364"/>
      <c r="K25" s="227"/>
    </row>
    <row r="26" spans="2:25" ht="30" customHeight="1" thickBot="1">
      <c r="B26" s="80" t="s">
        <v>84</v>
      </c>
      <c r="C26" s="256"/>
      <c r="D26" s="235" t="s">
        <v>212</v>
      </c>
      <c r="E26" s="235"/>
      <c r="F26" s="383"/>
      <c r="G26" s="368" t="s">
        <v>267</v>
      </c>
      <c r="H26" s="368"/>
      <c r="I26" s="368"/>
      <c r="J26" s="364"/>
      <c r="K26" s="227"/>
    </row>
    <row r="27" spans="2:25" ht="30" customHeight="1" thickBot="1">
      <c r="B27" s="432"/>
      <c r="C27" s="433"/>
      <c r="D27" s="65">
        <f>COUNTIF(D23:D26,"X")</f>
        <v>4</v>
      </c>
      <c r="E27" s="65">
        <f>COUNTIF(E23:E26,"X")</f>
        <v>0</v>
      </c>
      <c r="F27" s="65">
        <f>COUNTIF(F23:F26,"X")</f>
        <v>0</v>
      </c>
      <c r="G27" s="384"/>
      <c r="H27" s="382"/>
      <c r="I27" s="382"/>
      <c r="J27" s="367"/>
      <c r="K27" s="41"/>
    </row>
    <row r="28" spans="2:25" ht="30" customHeight="1" thickBot="1">
      <c r="B28" s="120" t="s">
        <v>96</v>
      </c>
      <c r="C28" s="122"/>
      <c r="D28" s="459">
        <f>((D32*1)+(E32*0.5)+(F32*0))/3</f>
        <v>0.66666666666666663</v>
      </c>
      <c r="E28" s="460"/>
      <c r="F28" s="461"/>
      <c r="G28" s="462"/>
      <c r="H28" s="451"/>
      <c r="I28" s="451"/>
      <c r="J28" s="451"/>
      <c r="K28" s="464"/>
    </row>
    <row r="29" spans="2:25" ht="45.6">
      <c r="B29" s="81" t="s">
        <v>89</v>
      </c>
      <c r="C29" s="256"/>
      <c r="D29" s="235"/>
      <c r="E29" s="235" t="s">
        <v>212</v>
      </c>
      <c r="F29" s="235"/>
      <c r="G29" s="372" t="s">
        <v>270</v>
      </c>
      <c r="H29" s="368"/>
      <c r="I29" s="368"/>
      <c r="J29" s="368"/>
      <c r="K29" s="227"/>
    </row>
    <row r="30" spans="2:25" ht="54" customHeight="1">
      <c r="B30" s="80" t="s">
        <v>90</v>
      </c>
      <c r="C30" s="256"/>
      <c r="D30" s="235"/>
      <c r="E30" s="235" t="s">
        <v>212</v>
      </c>
      <c r="F30" s="235"/>
      <c r="G30" s="372" t="s">
        <v>270</v>
      </c>
      <c r="H30" s="368"/>
      <c r="I30" s="368"/>
      <c r="J30" s="368"/>
      <c r="K30" s="227"/>
    </row>
    <row r="31" spans="2:25" ht="30.6" thickBot="1">
      <c r="B31" s="123" t="s">
        <v>85</v>
      </c>
      <c r="C31" s="257"/>
      <c r="D31" s="235" t="s">
        <v>212</v>
      </c>
      <c r="E31" s="235"/>
      <c r="F31" s="235"/>
      <c r="G31" s="240" t="s">
        <v>269</v>
      </c>
      <c r="H31" s="364"/>
      <c r="I31" s="364"/>
      <c r="J31" s="364"/>
      <c r="K31" s="227"/>
    </row>
    <row r="32" spans="2:25" ht="30.75" customHeight="1" thickBot="1">
      <c r="B32" s="453"/>
      <c r="C32" s="454"/>
      <c r="D32" s="65">
        <f>COUNTIF(D29:D31,"X")</f>
        <v>1</v>
      </c>
      <c r="E32" s="65">
        <f>COUNTIF(E29:E31,"X")</f>
        <v>2</v>
      </c>
      <c r="F32" s="65">
        <f>COUNTIF(F29:F31,"X")</f>
        <v>0</v>
      </c>
      <c r="G32" s="134"/>
      <c r="H32" s="380"/>
      <c r="I32" s="380"/>
      <c r="J32" s="380"/>
      <c r="K32" s="37"/>
    </row>
    <row r="33" spans="2:25" ht="30" customHeight="1" thickBot="1">
      <c r="B33" s="124" t="s">
        <v>86</v>
      </c>
      <c r="C33" s="119"/>
      <c r="D33" s="447">
        <f>AVERAGE(D34,D43)</f>
        <v>0.91666666666666674</v>
      </c>
      <c r="E33" s="448"/>
      <c r="F33" s="449"/>
      <c r="G33" s="455"/>
      <c r="H33" s="456"/>
      <c r="I33" s="456"/>
      <c r="J33" s="456"/>
      <c r="K33" s="457"/>
    </row>
    <row r="34" spans="2:25" ht="30" customHeight="1" thickBot="1">
      <c r="B34" s="78" t="s">
        <v>92</v>
      </c>
      <c r="C34" s="122"/>
      <c r="D34" s="459">
        <f>((D42*1)+(E42*0.5)+(F42*0))/6</f>
        <v>0.83333333333333337</v>
      </c>
      <c r="E34" s="460"/>
      <c r="F34" s="461"/>
      <c r="G34" s="462"/>
      <c r="H34" s="463"/>
      <c r="I34" s="463"/>
      <c r="J34" s="463"/>
      <c r="K34" s="464"/>
    </row>
    <row r="35" spans="2:25" ht="62.25" customHeight="1" thickBot="1">
      <c r="B35" s="80" t="s">
        <v>173</v>
      </c>
      <c r="C35" s="466"/>
      <c r="D35" s="456"/>
      <c r="E35" s="456"/>
      <c r="F35" s="456"/>
      <c r="G35" s="456"/>
      <c r="H35" s="456"/>
      <c r="I35" s="456"/>
      <c r="J35" s="456"/>
      <c r="K35" s="457"/>
    </row>
    <row r="36" spans="2:25" ht="30" customHeight="1">
      <c r="B36" s="385" t="s">
        <v>174</v>
      </c>
      <c r="C36" s="389"/>
      <c r="D36" s="387" t="s">
        <v>212</v>
      </c>
      <c r="E36" s="235"/>
      <c r="F36" s="235"/>
      <c r="G36" s="258" t="s">
        <v>271</v>
      </c>
      <c r="H36" s="379"/>
      <c r="I36" s="379"/>
      <c r="J36" s="379"/>
      <c r="K36" s="230"/>
    </row>
    <row r="37" spans="2:25" ht="30" customHeight="1">
      <c r="B37" s="385" t="s">
        <v>175</v>
      </c>
      <c r="C37" s="389"/>
      <c r="D37" s="388" t="s">
        <v>212</v>
      </c>
      <c r="E37" s="235"/>
      <c r="F37" s="235"/>
      <c r="G37" s="240"/>
      <c r="H37" s="364"/>
      <c r="I37" s="364"/>
      <c r="J37" s="364"/>
      <c r="K37" s="227"/>
    </row>
    <row r="38" spans="2:25" ht="30" customHeight="1">
      <c r="B38" s="386" t="s">
        <v>176</v>
      </c>
      <c r="C38" s="389"/>
      <c r="D38" s="388" t="s">
        <v>212</v>
      </c>
      <c r="E38" s="235"/>
      <c r="F38" s="235"/>
      <c r="G38" s="240"/>
      <c r="H38" s="364"/>
      <c r="I38" s="364"/>
      <c r="J38" s="364"/>
      <c r="K38" s="227"/>
    </row>
    <row r="39" spans="2:25" ht="30" customHeight="1">
      <c r="B39" s="385" t="s">
        <v>177</v>
      </c>
      <c r="C39" s="389"/>
      <c r="D39" s="388" t="s">
        <v>212</v>
      </c>
      <c r="E39" s="235"/>
      <c r="F39" s="235"/>
      <c r="G39" s="240"/>
      <c r="H39" s="364"/>
      <c r="I39" s="364"/>
      <c r="J39" s="364"/>
      <c r="K39" s="227"/>
    </row>
    <row r="40" spans="2:25" ht="30" customHeight="1">
      <c r="B40" s="385" t="s">
        <v>178</v>
      </c>
      <c r="C40" s="389"/>
      <c r="D40" s="388" t="s">
        <v>212</v>
      </c>
      <c r="E40" s="235"/>
      <c r="F40" s="235"/>
      <c r="G40" s="240" t="s">
        <v>272</v>
      </c>
      <c r="H40" s="364"/>
      <c r="I40" s="364"/>
      <c r="J40" s="364"/>
      <c r="K40" s="227"/>
    </row>
    <row r="41" spans="2:25" ht="30" customHeight="1" thickBot="1">
      <c r="B41" s="81" t="s">
        <v>91</v>
      </c>
      <c r="C41" s="256"/>
      <c r="D41" s="235"/>
      <c r="E41" s="235"/>
      <c r="F41" s="235"/>
      <c r="G41" s="240"/>
      <c r="H41" s="364"/>
      <c r="I41" s="364"/>
      <c r="J41" s="364"/>
      <c r="K41" s="227"/>
    </row>
    <row r="42" spans="2:25" ht="30" customHeight="1" thickBot="1">
      <c r="B42" s="453"/>
      <c r="C42" s="454"/>
      <c r="D42" s="65">
        <f>COUNTIF(D36:D41,"X")</f>
        <v>5</v>
      </c>
      <c r="E42" s="65">
        <f t="shared" ref="E42:F42" si="0">COUNTIF(E36:E41,"X")</f>
        <v>0</v>
      </c>
      <c r="F42" s="65">
        <f t="shared" si="0"/>
        <v>0</v>
      </c>
      <c r="G42" s="134"/>
      <c r="H42" s="380"/>
      <c r="I42" s="380"/>
      <c r="J42" s="380"/>
      <c r="K42" s="37"/>
    </row>
    <row r="43" spans="2:25" ht="30" customHeight="1" thickBot="1">
      <c r="B43" s="82" t="s">
        <v>93</v>
      </c>
      <c r="C43" s="122"/>
      <c r="D43" s="459">
        <f>((D46*1)+(E46*0.5)+(F46*0))/2</f>
        <v>1</v>
      </c>
      <c r="E43" s="460"/>
      <c r="F43" s="461"/>
      <c r="G43" s="455"/>
      <c r="H43" s="456"/>
      <c r="I43" s="456"/>
      <c r="J43" s="456"/>
      <c r="K43" s="457"/>
    </row>
    <row r="44" spans="2:25" ht="30" customHeight="1">
      <c r="B44" s="74" t="s">
        <v>94</v>
      </c>
      <c r="C44" s="256"/>
      <c r="D44" s="238" t="s">
        <v>212</v>
      </c>
      <c r="E44" s="225"/>
      <c r="F44" s="239"/>
      <c r="G44" s="372" t="s">
        <v>273</v>
      </c>
      <c r="H44" s="364"/>
      <c r="I44" s="364"/>
      <c r="J44" s="364"/>
      <c r="K44" s="227"/>
    </row>
    <row r="45" spans="2:25" ht="30" customHeight="1" thickBot="1">
      <c r="B45" s="74" t="s">
        <v>95</v>
      </c>
      <c r="C45" s="259"/>
      <c r="D45" s="238" t="s">
        <v>212</v>
      </c>
      <c r="E45" s="225"/>
      <c r="F45" s="239"/>
      <c r="G45" s="372" t="s">
        <v>274</v>
      </c>
      <c r="H45" s="365"/>
      <c r="I45" s="365"/>
      <c r="J45" s="365"/>
      <c r="K45" s="234"/>
    </row>
    <row r="46" spans="2:25" s="39" customFormat="1" ht="30" customHeight="1" thickBot="1">
      <c r="B46" s="453"/>
      <c r="C46" s="454"/>
      <c r="D46" s="65">
        <f>COUNTIF(D44:D45,"X")</f>
        <v>2</v>
      </c>
      <c r="E46" s="65">
        <f>COUNTIF(E44:E45,"X")</f>
        <v>0</v>
      </c>
      <c r="F46" s="65">
        <f>COUNTIF(F44:F45,"X")</f>
        <v>0</v>
      </c>
      <c r="G46" s="54"/>
      <c r="H46" s="381"/>
      <c r="I46" s="381"/>
      <c r="J46" s="381"/>
      <c r="K46" s="36"/>
      <c r="Y46" s="105"/>
    </row>
  </sheetData>
  <mergeCells count="24">
    <mergeCell ref="B46:C46"/>
    <mergeCell ref="D4:F4"/>
    <mergeCell ref="B21:C21"/>
    <mergeCell ref="D22:F22"/>
    <mergeCell ref="G22:K22"/>
    <mergeCell ref="B27:C27"/>
    <mergeCell ref="D28:F28"/>
    <mergeCell ref="G28:K28"/>
    <mergeCell ref="D34:F34"/>
    <mergeCell ref="G34:K34"/>
    <mergeCell ref="D43:F43"/>
    <mergeCell ref="G43:K43"/>
    <mergeCell ref="B42:C42"/>
    <mergeCell ref="C35:K35"/>
    <mergeCell ref="D3:F3"/>
    <mergeCell ref="G3:K3"/>
    <mergeCell ref="B32:C32"/>
    <mergeCell ref="D33:F33"/>
    <mergeCell ref="G33:K33"/>
    <mergeCell ref="G4:K4"/>
    <mergeCell ref="D14:F14"/>
    <mergeCell ref="G14:K14"/>
    <mergeCell ref="B13:C13"/>
    <mergeCell ref="G13:K13"/>
  </mergeCells>
  <conditionalFormatting sqref="Y5:Y13">
    <cfRule type="cellIs" dxfId="8" priority="1" operator="greaterThan">
      <formula>0.81</formula>
    </cfRule>
    <cfRule type="cellIs" dxfId="7" priority="2" operator="between">
      <formula>0.51</formula>
      <formula>0.8</formula>
    </cfRule>
    <cfRule type="cellIs" dxfId="6" priority="3" operator="lessThan">
      <formula>0.5</formula>
    </cfRule>
  </conditionalFormatting>
  <dataValidations count="1">
    <dataValidation type="list" allowBlank="1" showInputMessage="1" showErrorMessage="1" sqref="C15:C17 C23:F26 C5:F12 D15:F20 D44:F45 C43:C45 D29:F31 C34 C28:C31 C41:F41 D36:F40" xr:uid="{D9F37583-70ED-4190-BB97-95023DF54BB4}">
      <formula1>"X"</formula1>
    </dataValidation>
  </dataValidations>
  <pageMargins left="0.7" right="0.7" top="0.75" bottom="0.75" header="0.3" footer="0.3"/>
  <pageSetup scale="5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038A-F23E-47C2-9C54-C1CDBD641F5D}">
  <dimension ref="B1:W46"/>
  <sheetViews>
    <sheetView view="pageBreakPreview" zoomScaleNormal="100" zoomScaleSheetLayoutView="100" workbookViewId="0"/>
  </sheetViews>
  <sheetFormatPr baseColWidth="10" defaultColWidth="11.44140625" defaultRowHeight="15.6"/>
  <cols>
    <col min="1" max="1" width="4.33203125" style="42" customWidth="1"/>
    <col min="2" max="2" width="90.6640625" style="42" customWidth="1"/>
    <col min="3" max="3" width="13.33203125" style="43" bestFit="1" customWidth="1"/>
    <col min="4" max="4" width="14.5546875" style="43" bestFit="1" customWidth="1"/>
    <col min="5" max="5" width="11.6640625" style="43" customWidth="1"/>
    <col min="6" max="6" width="12.5546875" style="43" customWidth="1"/>
    <col min="7" max="7" width="29.5546875" style="42" customWidth="1"/>
    <col min="8" max="9" width="27.6640625" style="42" customWidth="1"/>
    <col min="10" max="10" width="20.88671875" style="42" customWidth="1"/>
    <col min="11" max="11" width="13.44140625" style="42" customWidth="1"/>
    <col min="12" max="12" width="7" style="42" customWidth="1"/>
    <col min="13" max="21" width="11.44140625" style="42"/>
    <col min="22" max="22" width="62.44140625" style="42" bestFit="1" customWidth="1"/>
    <col min="23" max="16384" width="11.44140625" style="42"/>
  </cols>
  <sheetData>
    <row r="1" spans="2:23" ht="16.2" thickBot="1"/>
    <row r="2" spans="2:23" s="43" customFormat="1" ht="30.9" customHeight="1" thickBot="1">
      <c r="B2" s="44" t="s">
        <v>35</v>
      </c>
      <c r="C2" s="44" t="s">
        <v>9</v>
      </c>
      <c r="D2" s="45" t="s">
        <v>4</v>
      </c>
      <c r="E2" s="46" t="s">
        <v>5</v>
      </c>
      <c r="F2" s="47" t="s">
        <v>6</v>
      </c>
      <c r="G2" s="45" t="s">
        <v>7</v>
      </c>
      <c r="H2" s="47" t="s">
        <v>8</v>
      </c>
      <c r="I2" s="47" t="s">
        <v>208</v>
      </c>
      <c r="J2" s="47" t="s">
        <v>280</v>
      </c>
      <c r="K2" s="47" t="s">
        <v>210</v>
      </c>
      <c r="V2" s="150" t="str">
        <f>B3</f>
        <v>7.1 Recursos</v>
      </c>
      <c r="W2" s="108">
        <f>D3</f>
        <v>1</v>
      </c>
    </row>
    <row r="3" spans="2:23" ht="30.9" customHeight="1" thickBot="1">
      <c r="B3" s="106" t="s">
        <v>98</v>
      </c>
      <c r="C3" s="88"/>
      <c r="D3" s="473">
        <f>((D5*1)+(E5*0.5)+(F5*0))/1</f>
        <v>1</v>
      </c>
      <c r="E3" s="474"/>
      <c r="F3" s="475"/>
      <c r="G3" s="498"/>
      <c r="H3" s="499"/>
      <c r="I3" s="499"/>
      <c r="J3" s="499"/>
      <c r="K3" s="500"/>
      <c r="V3" s="151" t="str">
        <f>B6</f>
        <v>7.2 Competensia</v>
      </c>
      <c r="W3" s="127">
        <f>D6</f>
        <v>0.9</v>
      </c>
    </row>
    <row r="4" spans="2:23" ht="31.8" thickBot="1">
      <c r="B4" s="92" t="s">
        <v>97</v>
      </c>
      <c r="C4" s="260"/>
      <c r="D4" s="261" t="s">
        <v>212</v>
      </c>
      <c r="E4" s="262"/>
      <c r="F4" s="263"/>
      <c r="G4" s="264"/>
      <c r="H4" s="265"/>
      <c r="I4" s="265"/>
      <c r="J4" s="265"/>
      <c r="K4" s="265"/>
      <c r="V4" s="151" t="str">
        <f>B14</f>
        <v>7.3 Toma de conciencia</v>
      </c>
      <c r="W4" s="127">
        <f>D14</f>
        <v>0.875</v>
      </c>
    </row>
    <row r="5" spans="2:23" ht="30.9" customHeight="1" thickBot="1">
      <c r="B5" s="403"/>
      <c r="C5" s="404"/>
      <c r="D5" s="91">
        <f>COUNTIF(D4,"X")</f>
        <v>1</v>
      </c>
      <c r="E5" s="91">
        <f>COUNTIF(E4,"X")</f>
        <v>0</v>
      </c>
      <c r="F5" s="91">
        <f>COUNTIF(F4,"X")</f>
        <v>0</v>
      </c>
      <c r="G5" s="403"/>
      <c r="H5" s="405"/>
      <c r="I5" s="405"/>
      <c r="J5" s="405"/>
      <c r="K5" s="404"/>
      <c r="V5" s="150" t="str">
        <f>B21</f>
        <v>7.4 Comunicación</v>
      </c>
      <c r="W5" s="127">
        <f>D21</f>
        <v>0.83333333333333337</v>
      </c>
    </row>
    <row r="6" spans="2:23" ht="30.9" customHeight="1" thickBot="1">
      <c r="B6" s="106" t="s">
        <v>99</v>
      </c>
      <c r="C6" s="412"/>
      <c r="D6" s="484">
        <f>((D13*1)+(E13*0.5)+(F13*0))/5</f>
        <v>0.9</v>
      </c>
      <c r="E6" s="485"/>
      <c r="F6" s="486"/>
      <c r="G6" s="420"/>
      <c r="H6" s="421"/>
      <c r="I6" s="421"/>
      <c r="J6" s="421"/>
      <c r="K6" s="422"/>
      <c r="V6" s="154" t="str">
        <f>B22</f>
        <v>7.4.1 Generalidades</v>
      </c>
      <c r="W6" s="127">
        <f>D22</f>
        <v>1</v>
      </c>
    </row>
    <row r="7" spans="2:23" ht="30.9" customHeight="1" thickBot="1">
      <c r="B7" s="136" t="s">
        <v>10</v>
      </c>
      <c r="C7" s="438"/>
      <c r="D7" s="450"/>
      <c r="E7" s="451"/>
      <c r="F7" s="452"/>
      <c r="G7" s="439"/>
      <c r="H7" s="424"/>
      <c r="I7" s="424"/>
      <c r="J7" s="424"/>
      <c r="K7" s="440"/>
      <c r="V7" s="154" t="str">
        <f>B27</f>
        <v>7.4.2 Comunicación Interna</v>
      </c>
      <c r="W7" s="127">
        <f>D27</f>
        <v>0.5</v>
      </c>
    </row>
    <row r="8" spans="2:23" ht="31.8" thickBot="1">
      <c r="B8" s="135" t="s">
        <v>180</v>
      </c>
      <c r="C8" s="266"/>
      <c r="D8" s="267" t="s">
        <v>212</v>
      </c>
      <c r="E8" s="268"/>
      <c r="F8" s="269"/>
      <c r="G8" s="270" t="s">
        <v>276</v>
      </c>
      <c r="H8" s="237"/>
      <c r="I8" s="237"/>
      <c r="J8" s="237"/>
      <c r="K8" s="237"/>
      <c r="V8" s="153" t="str">
        <f>B31</f>
        <v>7.4.3 Comunicación externa</v>
      </c>
      <c r="W8" s="127">
        <f>D31</f>
        <v>1</v>
      </c>
    </row>
    <row r="9" spans="2:23" ht="29.4" thickBot="1">
      <c r="B9" s="74" t="s">
        <v>181</v>
      </c>
      <c r="C9" s="271"/>
      <c r="D9" s="272" t="s">
        <v>212</v>
      </c>
      <c r="E9" s="207"/>
      <c r="F9" s="208"/>
      <c r="G9" s="209"/>
      <c r="H9" s="210"/>
      <c r="I9" s="210"/>
      <c r="J9" s="210"/>
      <c r="K9" s="210"/>
      <c r="V9" s="151" t="str">
        <f>B34</f>
        <v>7.5 INFORMACIÓN DOCUMENTADA</v>
      </c>
      <c r="W9" s="127">
        <f>D34</f>
        <v>1</v>
      </c>
    </row>
    <row r="10" spans="2:23" ht="30.9" customHeight="1" thickBot="1">
      <c r="B10" s="74" t="s">
        <v>182</v>
      </c>
      <c r="C10" s="271"/>
      <c r="D10" s="272"/>
      <c r="E10" s="207" t="s">
        <v>212</v>
      </c>
      <c r="F10" s="208"/>
      <c r="G10" s="209"/>
      <c r="H10" s="210" t="s">
        <v>275</v>
      </c>
      <c r="I10" s="210" t="s">
        <v>281</v>
      </c>
      <c r="J10" s="210" t="s">
        <v>282</v>
      </c>
      <c r="K10" s="210"/>
      <c r="V10" s="153" t="str">
        <f>B35</f>
        <v>7.5.1 Generalidades.</v>
      </c>
      <c r="W10" s="127">
        <f>D22</f>
        <v>1</v>
      </c>
    </row>
    <row r="11" spans="2:23" ht="30.9" customHeight="1" thickBot="1">
      <c r="B11" s="74" t="s">
        <v>101</v>
      </c>
      <c r="C11" s="271"/>
      <c r="D11" s="272" t="s">
        <v>212</v>
      </c>
      <c r="E11" s="207"/>
      <c r="F11" s="208"/>
      <c r="G11" s="209" t="s">
        <v>277</v>
      </c>
      <c r="H11" s="210"/>
      <c r="I11" s="210"/>
      <c r="J11" s="210"/>
      <c r="K11" s="210"/>
      <c r="V11" s="153" t="str">
        <f>B39</f>
        <v>7.5.2 Creación y actualización</v>
      </c>
      <c r="W11" s="127">
        <f>D39</f>
        <v>1</v>
      </c>
    </row>
    <row r="12" spans="2:23" ht="30.9" customHeight="1" thickBot="1">
      <c r="B12" s="56" t="s">
        <v>100</v>
      </c>
      <c r="C12" s="273"/>
      <c r="D12" s="219" t="s">
        <v>212</v>
      </c>
      <c r="E12" s="214"/>
      <c r="F12" s="215"/>
      <c r="G12" s="216"/>
      <c r="H12" s="201"/>
      <c r="I12" s="201"/>
      <c r="J12" s="201"/>
      <c r="K12" s="201"/>
      <c r="V12" s="153" t="str">
        <f>B42</f>
        <v>7.5.3 Control de la información documentada</v>
      </c>
      <c r="W12" s="127">
        <f>D42</f>
        <v>1</v>
      </c>
    </row>
    <row r="13" spans="2:23" ht="30.9" customHeight="1" thickBot="1">
      <c r="B13" s="432"/>
      <c r="C13" s="404"/>
      <c r="D13" s="137">
        <f>COUNTIF(D8:D12,"X")</f>
        <v>4</v>
      </c>
      <c r="E13" s="118">
        <f>COUNTIF(E8:E12,"X")</f>
        <v>1</v>
      </c>
      <c r="F13" s="138">
        <f>COUNTIF(F8:F12,"X")</f>
        <v>0</v>
      </c>
      <c r="G13" s="403"/>
      <c r="H13" s="405"/>
      <c r="I13" s="405"/>
      <c r="J13" s="405"/>
      <c r="K13" s="404"/>
      <c r="V13" s="152" t="str">
        <f>B2</f>
        <v>7. APOYO</v>
      </c>
      <c r="W13" s="127">
        <f>AVERAGE(W2:W12)</f>
        <v>0.91893939393939406</v>
      </c>
    </row>
    <row r="14" spans="2:23" ht="30.9" customHeight="1" thickBot="1">
      <c r="B14" s="106" t="s">
        <v>11</v>
      </c>
      <c r="C14" s="412"/>
      <c r="D14" s="473">
        <f>((D20*1)+(E20*0.5)+(F20*0))/4</f>
        <v>0.875</v>
      </c>
      <c r="E14" s="474"/>
      <c r="F14" s="475"/>
      <c r="G14" s="420"/>
      <c r="H14" s="421"/>
      <c r="I14" s="421"/>
      <c r="J14" s="421"/>
      <c r="K14" s="422"/>
    </row>
    <row r="15" spans="2:23" ht="30.9" customHeight="1" thickBot="1">
      <c r="B15" s="145" t="s">
        <v>102</v>
      </c>
      <c r="C15" s="438"/>
      <c r="D15" s="476"/>
      <c r="E15" s="477"/>
      <c r="F15" s="478"/>
      <c r="G15" s="423"/>
      <c r="H15" s="467"/>
      <c r="I15" s="467"/>
      <c r="J15" s="467"/>
      <c r="K15" s="425"/>
    </row>
    <row r="16" spans="2:23" ht="30.9" customHeight="1">
      <c r="B16" s="144" t="s">
        <v>103</v>
      </c>
      <c r="C16" s="220"/>
      <c r="D16" s="267" t="s">
        <v>212</v>
      </c>
      <c r="E16" s="268"/>
      <c r="F16" s="269"/>
      <c r="G16" s="270" t="s">
        <v>278</v>
      </c>
      <c r="H16" s="237"/>
      <c r="I16" s="237"/>
      <c r="J16" s="237"/>
      <c r="K16" s="237"/>
    </row>
    <row r="17" spans="2:11" ht="30.9" customHeight="1">
      <c r="B17" s="140" t="s">
        <v>104</v>
      </c>
      <c r="C17" s="224"/>
      <c r="D17" s="272"/>
      <c r="E17" s="207" t="s">
        <v>212</v>
      </c>
      <c r="F17" s="208"/>
      <c r="G17" s="209" t="s">
        <v>279</v>
      </c>
      <c r="H17" s="210"/>
      <c r="I17" s="210"/>
      <c r="J17" s="210"/>
      <c r="K17" s="210"/>
    </row>
    <row r="18" spans="2:11" ht="30.9" customHeight="1">
      <c r="B18" s="140" t="s">
        <v>105</v>
      </c>
      <c r="C18" s="224"/>
      <c r="D18" s="272" t="s">
        <v>212</v>
      </c>
      <c r="E18" s="207"/>
      <c r="F18" s="208"/>
      <c r="G18" s="209" t="s">
        <v>279</v>
      </c>
      <c r="H18" s="210"/>
      <c r="I18" s="210"/>
      <c r="J18" s="210"/>
      <c r="K18" s="210"/>
    </row>
    <row r="19" spans="2:11" ht="30" customHeight="1" thickBot="1">
      <c r="B19" s="140" t="s">
        <v>106</v>
      </c>
      <c r="C19" s="231"/>
      <c r="D19" s="219" t="s">
        <v>212</v>
      </c>
      <c r="E19" s="214"/>
      <c r="F19" s="215"/>
      <c r="G19" s="209" t="s">
        <v>279</v>
      </c>
      <c r="H19" s="201"/>
      <c r="I19" s="201"/>
      <c r="J19" s="201"/>
      <c r="K19" s="201"/>
    </row>
    <row r="20" spans="2:11" ht="30.9" customHeight="1" thickBot="1">
      <c r="B20" s="471"/>
      <c r="C20" s="472"/>
      <c r="D20" s="137">
        <f>COUNTIF(D16:D19,"X")</f>
        <v>3</v>
      </c>
      <c r="E20" s="118">
        <f>COUNTIF(E16:E19,"X")</f>
        <v>1</v>
      </c>
      <c r="F20" s="138">
        <f>COUNTIF(F16:F19,"X")</f>
        <v>0</v>
      </c>
      <c r="G20" s="403"/>
      <c r="H20" s="405"/>
      <c r="I20" s="405"/>
      <c r="J20" s="405"/>
      <c r="K20" s="404"/>
    </row>
    <row r="21" spans="2:11" ht="30.9" customHeight="1" thickBot="1">
      <c r="B21" s="141" t="s">
        <v>12</v>
      </c>
      <c r="C21" s="412"/>
      <c r="D21" s="473">
        <f>AVERAGE(D22,D27,D31)</f>
        <v>0.83333333333333337</v>
      </c>
      <c r="E21" s="474"/>
      <c r="F21" s="475"/>
      <c r="G21" s="487"/>
      <c r="H21" s="488"/>
      <c r="I21" s="488"/>
      <c r="J21" s="488"/>
      <c r="K21" s="489"/>
    </row>
    <row r="22" spans="2:11" ht="30.9" customHeight="1" thickBot="1">
      <c r="B22" s="149" t="s">
        <v>107</v>
      </c>
      <c r="C22" s="413"/>
      <c r="D22" s="429">
        <f>((D26*1)+(E26*0.5)+(F26*0))/3</f>
        <v>1</v>
      </c>
      <c r="E22" s="430"/>
      <c r="F22" s="431"/>
      <c r="G22" s="490"/>
      <c r="H22" s="491"/>
      <c r="I22" s="491"/>
      <c r="J22" s="491"/>
      <c r="K22" s="492"/>
    </row>
    <row r="23" spans="2:11" ht="46.8">
      <c r="B23" s="95" t="s">
        <v>108</v>
      </c>
      <c r="C23" s="274"/>
      <c r="D23" s="267" t="s">
        <v>212</v>
      </c>
      <c r="E23" s="268"/>
      <c r="F23" s="269"/>
      <c r="G23" s="270" t="s">
        <v>283</v>
      </c>
      <c r="H23" s="237" t="s">
        <v>284</v>
      </c>
      <c r="I23" s="237" t="s">
        <v>285</v>
      </c>
      <c r="J23" s="237" t="s">
        <v>217</v>
      </c>
      <c r="K23" s="390">
        <v>44255</v>
      </c>
    </row>
    <row r="24" spans="2:11" ht="46.8">
      <c r="B24" s="96" t="s">
        <v>109</v>
      </c>
      <c r="C24" s="275"/>
      <c r="D24" s="272" t="s">
        <v>212</v>
      </c>
      <c r="E24" s="207"/>
      <c r="F24" s="208"/>
      <c r="G24" s="209"/>
      <c r="H24" s="210"/>
      <c r="I24" s="210"/>
      <c r="J24" s="210"/>
      <c r="K24" s="210"/>
    </row>
    <row r="25" spans="2:11" ht="31.8" thickBot="1">
      <c r="B25" s="97" t="s">
        <v>110</v>
      </c>
      <c r="C25" s="276"/>
      <c r="D25" s="219" t="s">
        <v>212</v>
      </c>
      <c r="E25" s="214"/>
      <c r="F25" s="215"/>
      <c r="G25" s="216"/>
      <c r="H25" s="201"/>
      <c r="I25" s="201"/>
      <c r="J25" s="201"/>
      <c r="K25" s="201"/>
    </row>
    <row r="26" spans="2:11" ht="29.25" customHeight="1" thickBot="1">
      <c r="B26" s="432"/>
      <c r="C26" s="404"/>
      <c r="D26" s="137">
        <f>COUNTIF(D23:D25,"X")</f>
        <v>3</v>
      </c>
      <c r="E26" s="118">
        <f>COUNTIF(E23:E25,"X")</f>
        <v>0</v>
      </c>
      <c r="F26" s="138">
        <f>COUNTIF(F23:F25,"X")</f>
        <v>0</v>
      </c>
      <c r="H26" s="94"/>
      <c r="I26" s="94"/>
      <c r="J26" s="94"/>
      <c r="K26" s="94"/>
    </row>
    <row r="27" spans="2:11" ht="27.75" customHeight="1" thickBot="1">
      <c r="B27" s="148" t="s">
        <v>111</v>
      </c>
      <c r="C27" s="88"/>
      <c r="D27" s="468">
        <f>((D30*1)+(E30*0.5)+(F30*0))/2</f>
        <v>0.5</v>
      </c>
      <c r="E27" s="469"/>
      <c r="F27" s="470"/>
      <c r="G27" s="455"/>
      <c r="H27" s="456"/>
      <c r="I27" s="456"/>
      <c r="J27" s="456"/>
      <c r="K27" s="457"/>
    </row>
    <row r="28" spans="2:11" ht="47.4" thickBot="1">
      <c r="B28" s="97" t="s">
        <v>112</v>
      </c>
      <c r="C28" s="274"/>
      <c r="D28" s="267"/>
      <c r="E28" s="268" t="s">
        <v>212</v>
      </c>
      <c r="F28" s="269"/>
      <c r="G28" s="270" t="s">
        <v>286</v>
      </c>
      <c r="H28" s="237"/>
      <c r="I28" s="237"/>
      <c r="J28" s="237"/>
      <c r="K28" s="237"/>
    </row>
    <row r="29" spans="2:11" ht="31.8" thickBot="1">
      <c r="B29" s="97" t="s">
        <v>113</v>
      </c>
      <c r="C29" s="276"/>
      <c r="D29" s="219"/>
      <c r="E29" s="214" t="s">
        <v>212</v>
      </c>
      <c r="F29" s="215"/>
      <c r="G29" s="211"/>
      <c r="H29" s="212"/>
      <c r="I29" s="212"/>
      <c r="J29" s="212"/>
      <c r="K29" s="212"/>
    </row>
    <row r="30" spans="2:11" ht="27.75" customHeight="1" thickBot="1">
      <c r="B30" s="432"/>
      <c r="C30" s="404"/>
      <c r="D30" s="137">
        <f>COUNTIF(D28:D29,"X")</f>
        <v>0</v>
      </c>
      <c r="E30" s="118">
        <f>COUNTIF(E28:E29,"X")</f>
        <v>2</v>
      </c>
      <c r="F30" s="63">
        <f>COUNTIF(F28:F29,"X")</f>
        <v>0</v>
      </c>
      <c r="G30" s="50"/>
      <c r="H30" s="139"/>
      <c r="I30" s="139"/>
      <c r="J30" s="139"/>
      <c r="K30" s="139"/>
    </row>
    <row r="31" spans="2:11" ht="27" customHeight="1" thickBot="1">
      <c r="B31" s="147" t="s">
        <v>114</v>
      </c>
      <c r="C31" s="125"/>
      <c r="D31" s="479">
        <f>((D33*1)+(E33*0.5)+(F33*0))/1</f>
        <v>1</v>
      </c>
      <c r="E31" s="480"/>
      <c r="F31" s="481"/>
      <c r="G31" s="50"/>
      <c r="H31" s="139"/>
      <c r="I31" s="139"/>
      <c r="J31" s="139"/>
      <c r="K31" s="139"/>
    </row>
    <row r="32" spans="2:11" ht="32.25" customHeight="1" thickBot="1">
      <c r="B32" s="92" t="s">
        <v>115</v>
      </c>
      <c r="C32" s="277"/>
      <c r="D32" s="278" t="s">
        <v>212</v>
      </c>
      <c r="E32" s="279"/>
      <c r="F32" s="280"/>
      <c r="G32" s="281" t="s">
        <v>287</v>
      </c>
      <c r="H32" s="282"/>
      <c r="I32" s="282"/>
      <c r="J32" s="282"/>
      <c r="K32" s="282"/>
    </row>
    <row r="33" spans="2:11" ht="34.5" customHeight="1" thickBot="1">
      <c r="B33" s="432"/>
      <c r="C33" s="433"/>
      <c r="D33" s="65">
        <f>COUNTIF(D32,"X")</f>
        <v>1</v>
      </c>
      <c r="E33" s="63">
        <f t="shared" ref="E33:F33" si="0">COUNTIF(E32,"X")</f>
        <v>0</v>
      </c>
      <c r="F33" s="63">
        <f t="shared" si="0"/>
        <v>0</v>
      </c>
      <c r="G33"/>
      <c r="H33"/>
      <c r="I33"/>
      <c r="J33"/>
      <c r="K33"/>
    </row>
    <row r="34" spans="2:11" ht="33.75" customHeight="1" thickBot="1">
      <c r="B34" s="141" t="s">
        <v>116</v>
      </c>
      <c r="C34" s="412"/>
      <c r="D34" s="484">
        <f>AVERAGE(D35,D39,D42)</f>
        <v>1</v>
      </c>
      <c r="E34" s="485"/>
      <c r="F34" s="486"/>
      <c r="G34" s="466"/>
      <c r="H34" s="482"/>
      <c r="I34" s="482"/>
      <c r="J34" s="482"/>
      <c r="K34" s="483"/>
    </row>
    <row r="35" spans="2:11" ht="36" customHeight="1" thickBot="1">
      <c r="B35" s="146" t="s">
        <v>117</v>
      </c>
      <c r="C35" s="450"/>
      <c r="D35" s="468">
        <f>((D38*1)+(E38*0.5)+(F38*0))/2</f>
        <v>1</v>
      </c>
      <c r="E35" s="469"/>
      <c r="F35" s="470"/>
      <c r="G35" s="463"/>
      <c r="H35" s="463"/>
      <c r="I35" s="463"/>
      <c r="J35" s="463"/>
      <c r="K35" s="464"/>
    </row>
    <row r="36" spans="2:11" ht="31.8" thickBot="1">
      <c r="B36" s="93" t="s">
        <v>118</v>
      </c>
      <c r="C36" s="283"/>
      <c r="D36" s="284" t="s">
        <v>212</v>
      </c>
      <c r="E36" s="268"/>
      <c r="F36" s="269"/>
      <c r="G36" s="205" t="s">
        <v>288</v>
      </c>
      <c r="H36" s="285"/>
      <c r="I36" s="285"/>
      <c r="J36" s="285"/>
      <c r="K36" s="285"/>
    </row>
    <row r="37" spans="2:11" ht="31.8" thickBot="1">
      <c r="B37" s="93" t="s">
        <v>119</v>
      </c>
      <c r="C37" s="286"/>
      <c r="D37" s="213" t="s">
        <v>212</v>
      </c>
      <c r="E37" s="214"/>
      <c r="F37" s="215"/>
      <c r="G37" s="209"/>
      <c r="H37" s="287"/>
      <c r="I37" s="287"/>
      <c r="J37" s="287"/>
      <c r="K37" s="287"/>
    </row>
    <row r="38" spans="2:11" ht="34.5" customHeight="1" thickBot="1">
      <c r="B38" s="432"/>
      <c r="C38" s="404"/>
      <c r="D38" s="65">
        <f>COUNTIF(D36:D37,"X")</f>
        <v>2</v>
      </c>
      <c r="E38" s="65">
        <f t="shared" ref="E38:F38" si="1">COUNTIF(E36:E37,"X")</f>
        <v>0</v>
      </c>
      <c r="F38" s="63">
        <f t="shared" si="1"/>
        <v>0</v>
      </c>
      <c r="G38" s="143"/>
      <c r="H38" s="142"/>
      <c r="I38" s="142"/>
      <c r="J38" s="142"/>
      <c r="K38" s="142"/>
    </row>
    <row r="39" spans="2:11" ht="28.5" customHeight="1" thickBot="1">
      <c r="B39" s="146" t="s">
        <v>13</v>
      </c>
      <c r="C39" s="88"/>
      <c r="D39" s="468">
        <f>((D41*1)+(E41*0.5)+(F41*0))/1</f>
        <v>1</v>
      </c>
      <c r="E39" s="469"/>
      <c r="F39" s="470"/>
      <c r="G39" s="455"/>
      <c r="H39" s="456"/>
      <c r="I39" s="456"/>
      <c r="J39" s="456"/>
      <c r="K39" s="457"/>
    </row>
    <row r="40" spans="2:11" ht="32.25" customHeight="1" thickBot="1">
      <c r="B40" s="92" t="s">
        <v>120</v>
      </c>
      <c r="C40" s="288"/>
      <c r="D40" s="261" t="s">
        <v>212</v>
      </c>
      <c r="E40" s="289"/>
      <c r="F40" s="290"/>
      <c r="G40" s="270"/>
      <c r="H40" s="237"/>
      <c r="I40" s="237"/>
      <c r="J40" s="237"/>
      <c r="K40" s="237"/>
    </row>
    <row r="41" spans="2:11" ht="34.5" customHeight="1" thickBot="1">
      <c r="B41" s="432"/>
      <c r="C41" s="433"/>
      <c r="D41" s="65">
        <f>COUNTIF(D40,"X")</f>
        <v>1</v>
      </c>
      <c r="E41" s="65">
        <f t="shared" ref="E41:F41" si="2">COUNTIF(E40,"X")</f>
        <v>0</v>
      </c>
      <c r="F41" s="63">
        <f t="shared" si="2"/>
        <v>0</v>
      </c>
      <c r="G41"/>
      <c r="H41"/>
      <c r="I41"/>
      <c r="J41"/>
      <c r="K41"/>
    </row>
    <row r="42" spans="2:11" ht="30.75" customHeight="1" thickBot="1">
      <c r="B42" s="146" t="s">
        <v>14</v>
      </c>
      <c r="C42" s="88"/>
      <c r="D42" s="479">
        <f>((D46*1)+(E46*0.5)+(F46*0))/3</f>
        <v>1</v>
      </c>
      <c r="E42" s="480"/>
      <c r="F42" s="481"/>
      <c r="G42" s="455"/>
      <c r="H42" s="456"/>
      <c r="I42" s="456"/>
      <c r="J42" s="456"/>
      <c r="K42" s="457"/>
    </row>
    <row r="43" spans="2:11" ht="48" customHeight="1" thickBot="1">
      <c r="B43" s="93" t="s">
        <v>122</v>
      </c>
      <c r="C43" s="291"/>
      <c r="D43" s="202" t="s">
        <v>212</v>
      </c>
      <c r="E43" s="203"/>
      <c r="F43" s="204"/>
      <c r="G43" s="205" t="s">
        <v>289</v>
      </c>
      <c r="H43" s="285"/>
      <c r="I43" s="285"/>
      <c r="J43" s="285"/>
      <c r="K43" s="285"/>
    </row>
    <row r="44" spans="2:11" ht="35.25" customHeight="1" thickBot="1">
      <c r="B44" s="93" t="s">
        <v>123</v>
      </c>
      <c r="C44" s="292"/>
      <c r="D44" s="206" t="s">
        <v>212</v>
      </c>
      <c r="E44" s="207"/>
      <c r="F44" s="208"/>
      <c r="G44" s="209"/>
      <c r="H44" s="287"/>
      <c r="I44" s="287"/>
      <c r="J44" s="287"/>
      <c r="K44" s="287"/>
    </row>
    <row r="45" spans="2:11" ht="48" customHeight="1" thickBot="1">
      <c r="B45" s="93" t="s">
        <v>121</v>
      </c>
      <c r="C45" s="293"/>
      <c r="D45" s="213" t="s">
        <v>212</v>
      </c>
      <c r="E45" s="214"/>
      <c r="F45" s="215"/>
      <c r="G45" s="211"/>
      <c r="H45" s="294"/>
      <c r="I45" s="294"/>
      <c r="J45" s="294"/>
      <c r="K45" s="294"/>
    </row>
    <row r="46" spans="2:11" s="52" customFormat="1" ht="30.9" customHeight="1" thickBot="1">
      <c r="B46" s="493"/>
      <c r="C46" s="494"/>
      <c r="D46" s="65">
        <f>COUNTIF(D43:D45,"X")</f>
        <v>3</v>
      </c>
      <c r="E46" s="65">
        <f t="shared" ref="E46:F46" si="3">COUNTIF(E43:E45,"X")</f>
        <v>0</v>
      </c>
      <c r="F46" s="65">
        <f t="shared" si="3"/>
        <v>0</v>
      </c>
      <c r="G46" s="495"/>
      <c r="H46" s="496"/>
      <c r="I46" s="496"/>
      <c r="J46" s="496"/>
      <c r="K46" s="497"/>
    </row>
  </sheetData>
  <mergeCells count="37">
    <mergeCell ref="B5:C5"/>
    <mergeCell ref="G5:K5"/>
    <mergeCell ref="D3:F3"/>
    <mergeCell ref="B46:C46"/>
    <mergeCell ref="G46:K46"/>
    <mergeCell ref="B41:C41"/>
    <mergeCell ref="C6:C7"/>
    <mergeCell ref="B13:C13"/>
    <mergeCell ref="G13:K13"/>
    <mergeCell ref="C14:C15"/>
    <mergeCell ref="B26:C26"/>
    <mergeCell ref="G3:K3"/>
    <mergeCell ref="G6:K7"/>
    <mergeCell ref="D21:F21"/>
    <mergeCell ref="D22:F22"/>
    <mergeCell ref="D6:F6"/>
    <mergeCell ref="D7:F7"/>
    <mergeCell ref="D14:F15"/>
    <mergeCell ref="G20:K20"/>
    <mergeCell ref="D42:F42"/>
    <mergeCell ref="C34:C35"/>
    <mergeCell ref="G34:K35"/>
    <mergeCell ref="G42:K42"/>
    <mergeCell ref="D27:F27"/>
    <mergeCell ref="B30:C30"/>
    <mergeCell ref="D31:F31"/>
    <mergeCell ref="B33:C33"/>
    <mergeCell ref="D34:F34"/>
    <mergeCell ref="G27:K27"/>
    <mergeCell ref="B38:C38"/>
    <mergeCell ref="G39:K39"/>
    <mergeCell ref="G21:K22"/>
    <mergeCell ref="G14:K15"/>
    <mergeCell ref="C21:C22"/>
    <mergeCell ref="D35:F35"/>
    <mergeCell ref="D39:F39"/>
    <mergeCell ref="B20:C20"/>
  </mergeCells>
  <conditionalFormatting sqref="W2:W13">
    <cfRule type="cellIs" dxfId="5" priority="1" operator="greaterThan">
      <formula>0.81</formula>
    </cfRule>
    <cfRule type="cellIs" dxfId="4" priority="2" operator="between">
      <formula>0.51</formula>
      <formula>0.8</formula>
    </cfRule>
    <cfRule type="cellIs" dxfId="3" priority="3" operator="lessThan">
      <formula>0.5</formula>
    </cfRule>
  </conditionalFormatting>
  <dataValidations count="1">
    <dataValidation type="list" allowBlank="1" showInputMessage="1" showErrorMessage="1" sqref="D4:F4 D16:F19 D8:F12 D23:F25 D28:F29 D32:F32 D40:F40 D36:F37 D43:F45" xr:uid="{C4B61591-BACD-41B5-BABF-62DB1D6D54D8}">
      <formula1>"X"</formula1>
    </dataValidation>
  </dataValidations>
  <pageMargins left="0.7" right="0.7" top="0.75" bottom="0.75" header="0.3" footer="0.3"/>
  <pageSetup scale="51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U22"/>
  <sheetViews>
    <sheetView view="pageBreakPreview" topLeftCell="A13" zoomScale="70" zoomScaleNormal="100" zoomScaleSheetLayoutView="70" workbookViewId="0">
      <selection activeCell="E20" sqref="E20"/>
    </sheetView>
  </sheetViews>
  <sheetFormatPr baseColWidth="10" defaultColWidth="11.44140625" defaultRowHeight="14.4"/>
  <cols>
    <col min="1" max="1" width="3.88671875" style="1" customWidth="1"/>
    <col min="2" max="2" width="77.33203125" style="16" bestFit="1" customWidth="1"/>
    <col min="3" max="3" width="11.88671875" style="13" bestFit="1" customWidth="1"/>
    <col min="4" max="4" width="14.33203125" style="13" customWidth="1"/>
    <col min="5" max="5" width="12.33203125" style="13" customWidth="1"/>
    <col min="6" max="6" width="12.88671875" style="13" customWidth="1"/>
    <col min="7" max="11" width="23.33203125" style="1" customWidth="1"/>
    <col min="12" max="18" width="11.44140625" style="1"/>
    <col min="19" max="19" width="53.5546875" style="1" customWidth="1"/>
    <col min="20" max="20" width="20.44140625" style="1" customWidth="1"/>
    <col min="21" max="16384" width="11.44140625" style="1"/>
  </cols>
  <sheetData>
    <row r="1" spans="2:21" ht="15" thickBot="1"/>
    <row r="2" spans="2:21" ht="33.75" customHeight="1" thickBot="1">
      <c r="B2" s="158" t="s">
        <v>30</v>
      </c>
      <c r="C2" s="167" t="s">
        <v>9</v>
      </c>
      <c r="D2" s="167" t="s">
        <v>4</v>
      </c>
      <c r="E2" s="167" t="s">
        <v>5</v>
      </c>
      <c r="F2" s="167" t="s">
        <v>6</v>
      </c>
      <c r="G2" s="167" t="s">
        <v>7</v>
      </c>
      <c r="H2" s="167" t="s">
        <v>8</v>
      </c>
      <c r="I2" s="167" t="s">
        <v>208</v>
      </c>
      <c r="J2" s="167" t="s">
        <v>280</v>
      </c>
      <c r="K2" s="167" t="s">
        <v>210</v>
      </c>
    </row>
    <row r="3" spans="2:21" ht="25.5" customHeight="1" thickBot="1">
      <c r="B3" s="159" t="s">
        <v>15</v>
      </c>
      <c r="C3" s="160"/>
      <c r="D3" s="504">
        <f>((D12*1)+(E12*0.5)+(F12*0))/8</f>
        <v>0.8125</v>
      </c>
      <c r="E3" s="505"/>
      <c r="F3" s="506"/>
      <c r="G3" s="510"/>
      <c r="H3" s="510"/>
      <c r="I3" s="510"/>
      <c r="J3" s="510"/>
      <c r="K3" s="512"/>
      <c r="S3" s="169" t="str">
        <f>B3</f>
        <v xml:space="preserve">8.1 Planificación y control operacional  </v>
      </c>
      <c r="T3" s="108">
        <f>D3</f>
        <v>0.8125</v>
      </c>
    </row>
    <row r="4" spans="2:21" ht="30.75" customHeight="1" thickBot="1">
      <c r="B4" s="161" t="s">
        <v>124</v>
      </c>
      <c r="C4" s="295"/>
      <c r="D4" s="302" t="s">
        <v>212</v>
      </c>
      <c r="E4" s="302"/>
      <c r="F4" s="302"/>
      <c r="G4" s="299" t="s">
        <v>290</v>
      </c>
      <c r="H4" s="300"/>
      <c r="I4" s="300"/>
      <c r="J4" s="300"/>
      <c r="K4" s="300"/>
      <c r="S4" s="170" t="str">
        <f>B13</f>
        <v>8.2 Preparación y respuesta ante emergencia</v>
      </c>
      <c r="T4" s="127">
        <f>D13</f>
        <v>0.625</v>
      </c>
    </row>
    <row r="5" spans="2:21" ht="40.200000000000003" thickBot="1">
      <c r="B5" s="103" t="s">
        <v>140</v>
      </c>
      <c r="C5" s="301"/>
      <c r="D5" s="302" t="s">
        <v>212</v>
      </c>
      <c r="E5" s="303"/>
      <c r="F5" s="304"/>
      <c r="G5" s="305"/>
      <c r="H5" s="306"/>
      <c r="I5" s="306"/>
      <c r="J5" s="306"/>
      <c r="K5" s="306"/>
      <c r="S5" s="168" t="str">
        <f>B2</f>
        <v>8.OPERACIÓN</v>
      </c>
      <c r="T5" s="127">
        <f>AVERAGE(T3:T4)</f>
        <v>0.71875</v>
      </c>
      <c r="U5"/>
    </row>
    <row r="6" spans="2:21" ht="26.4">
      <c r="B6" s="2" t="s">
        <v>125</v>
      </c>
      <c r="C6" s="301"/>
      <c r="D6" s="302" t="s">
        <v>212</v>
      </c>
      <c r="E6" s="303"/>
      <c r="F6" s="304"/>
      <c r="G6" s="305"/>
      <c r="H6" s="306"/>
      <c r="I6" s="306"/>
      <c r="J6" s="306"/>
      <c r="K6" s="306"/>
      <c r="S6"/>
      <c r="T6"/>
      <c r="U6"/>
    </row>
    <row r="7" spans="2:21" ht="39.6">
      <c r="B7" s="15" t="s">
        <v>126</v>
      </c>
      <c r="C7" s="301"/>
      <c r="D7" s="302"/>
      <c r="E7" s="303" t="s">
        <v>212</v>
      </c>
      <c r="F7" s="304"/>
      <c r="G7" s="305" t="s">
        <v>291</v>
      </c>
      <c r="H7" s="308" t="s">
        <v>292</v>
      </c>
      <c r="I7" s="306" t="s">
        <v>293</v>
      </c>
      <c r="J7" s="308" t="s">
        <v>294</v>
      </c>
      <c r="K7" s="391">
        <v>44255</v>
      </c>
      <c r="S7"/>
      <c r="T7"/>
      <c r="U7"/>
    </row>
    <row r="8" spans="2:21" ht="27.75" customHeight="1">
      <c r="B8" s="15" t="s">
        <v>127</v>
      </c>
      <c r="C8" s="301"/>
      <c r="D8" s="302" t="s">
        <v>212</v>
      </c>
      <c r="E8" s="303"/>
      <c r="F8" s="304"/>
      <c r="G8" s="305" t="s">
        <v>295</v>
      </c>
      <c r="H8" s="308"/>
      <c r="I8" s="308"/>
      <c r="J8" s="308"/>
      <c r="K8" s="308"/>
      <c r="S8"/>
      <c r="T8"/>
      <c r="U8"/>
    </row>
    <row r="9" spans="2:21" ht="28.8">
      <c r="B9" s="2" t="s">
        <v>128</v>
      </c>
      <c r="C9" s="301"/>
      <c r="D9" s="302"/>
      <c r="E9" s="303"/>
      <c r="F9" s="304"/>
      <c r="G9" s="307" t="s">
        <v>296</v>
      </c>
      <c r="H9" s="305" t="s">
        <v>297</v>
      </c>
      <c r="I9" s="306" t="s">
        <v>298</v>
      </c>
      <c r="J9" s="308" t="s">
        <v>299</v>
      </c>
      <c r="K9" s="391">
        <v>44255</v>
      </c>
      <c r="S9"/>
      <c r="T9"/>
      <c r="U9"/>
    </row>
    <row r="10" spans="2:21" ht="39.6">
      <c r="B10" s="2" t="s">
        <v>129</v>
      </c>
      <c r="C10" s="301"/>
      <c r="D10" s="302" t="s">
        <v>212</v>
      </c>
      <c r="E10" s="303"/>
      <c r="F10" s="304"/>
      <c r="G10" s="307"/>
      <c r="H10" s="308"/>
      <c r="I10" s="308"/>
      <c r="J10" s="308"/>
      <c r="K10" s="308"/>
      <c r="S10"/>
      <c r="T10"/>
      <c r="U10"/>
    </row>
    <row r="11" spans="2:21" ht="27" thickBot="1">
      <c r="B11" s="162" t="s">
        <v>130</v>
      </c>
      <c r="C11" s="309"/>
      <c r="D11" s="302" t="s">
        <v>212</v>
      </c>
      <c r="E11" s="311"/>
      <c r="F11" s="312"/>
      <c r="G11" s="313"/>
      <c r="H11" s="314"/>
      <c r="I11" s="314"/>
      <c r="J11" s="314"/>
      <c r="K11" s="314"/>
      <c r="S11"/>
      <c r="T11"/>
      <c r="U11"/>
    </row>
    <row r="12" spans="2:21" ht="30" customHeight="1" thickBot="1">
      <c r="B12" s="507"/>
      <c r="C12" s="508"/>
      <c r="D12" s="137">
        <f>COUNTIF(D4:D11,"X")</f>
        <v>6</v>
      </c>
      <c r="E12" s="118">
        <f t="shared" ref="E12:F12" si="0">COUNTIF(E4:E11,"X")</f>
        <v>1</v>
      </c>
      <c r="F12" s="138">
        <f t="shared" si="0"/>
        <v>0</v>
      </c>
      <c r="H12" s="157"/>
      <c r="I12" s="157"/>
      <c r="J12" s="157"/>
      <c r="K12" s="157"/>
      <c r="S12"/>
      <c r="T12"/>
      <c r="U12"/>
    </row>
    <row r="13" spans="2:21" ht="15" thickBot="1">
      <c r="B13" s="165" t="s">
        <v>131</v>
      </c>
      <c r="C13" s="166"/>
      <c r="D13" s="501">
        <f>((D22*1)+(E22*0.5)+(F22*0))/8</f>
        <v>0.625</v>
      </c>
      <c r="E13" s="502"/>
      <c r="F13" s="503"/>
      <c r="G13" s="509"/>
      <c r="H13" s="510"/>
      <c r="I13" s="510"/>
      <c r="J13" s="510"/>
      <c r="K13" s="511"/>
      <c r="S13"/>
      <c r="T13"/>
      <c r="U13"/>
    </row>
    <row r="14" spans="2:21" ht="39.6">
      <c r="B14" s="164" t="s">
        <v>132</v>
      </c>
      <c r="C14" s="315"/>
      <c r="D14" s="302" t="s">
        <v>212</v>
      </c>
      <c r="E14" s="302"/>
      <c r="F14" s="302"/>
      <c r="G14" s="316" t="s">
        <v>300</v>
      </c>
      <c r="H14" s="317"/>
      <c r="I14" s="317"/>
      <c r="J14" s="317"/>
      <c r="K14" s="317"/>
      <c r="S14"/>
      <c r="T14"/>
      <c r="U14"/>
    </row>
    <row r="15" spans="2:21" ht="39.6">
      <c r="B15" s="17" t="s">
        <v>133</v>
      </c>
      <c r="C15" s="318"/>
      <c r="D15" s="302"/>
      <c r="E15" s="302" t="s">
        <v>212</v>
      </c>
      <c r="F15" s="302"/>
      <c r="G15" s="319"/>
      <c r="H15" s="308"/>
      <c r="I15" s="308"/>
      <c r="J15" s="308"/>
      <c r="K15" s="308"/>
      <c r="S15"/>
      <c r="T15"/>
      <c r="U15"/>
    </row>
    <row r="16" spans="2:21" ht="27.75" customHeight="1">
      <c r="B16" s="17" t="s">
        <v>134</v>
      </c>
      <c r="C16" s="318"/>
      <c r="D16" s="302" t="s">
        <v>212</v>
      </c>
      <c r="E16" s="302"/>
      <c r="F16" s="302"/>
      <c r="G16" s="319"/>
      <c r="H16" s="308"/>
      <c r="I16" s="308"/>
      <c r="J16" s="308"/>
      <c r="K16" s="308"/>
      <c r="S16"/>
      <c r="T16"/>
      <c r="U16"/>
    </row>
    <row r="17" spans="2:21" ht="39.6">
      <c r="B17" s="17" t="s">
        <v>135</v>
      </c>
      <c r="C17" s="318"/>
      <c r="D17" s="302"/>
      <c r="E17" s="302" t="s">
        <v>212</v>
      </c>
      <c r="F17" s="302"/>
      <c r="G17" s="319" t="s">
        <v>301</v>
      </c>
      <c r="H17" s="308"/>
      <c r="I17" s="308"/>
      <c r="J17" s="308"/>
      <c r="K17" s="308"/>
      <c r="S17"/>
      <c r="T17"/>
      <c r="U17"/>
    </row>
    <row r="18" spans="2:21" ht="39.6">
      <c r="B18" s="17" t="s">
        <v>136</v>
      </c>
      <c r="C18" s="318"/>
      <c r="D18" s="302"/>
      <c r="E18" s="302" t="s">
        <v>212</v>
      </c>
      <c r="F18" s="302"/>
      <c r="G18" s="319"/>
      <c r="H18" s="308"/>
      <c r="I18" s="308"/>
      <c r="J18" s="308"/>
      <c r="K18" s="308"/>
      <c r="S18"/>
      <c r="T18"/>
      <c r="U18"/>
    </row>
    <row r="19" spans="2:21" ht="28.8">
      <c r="B19" s="17" t="s">
        <v>137</v>
      </c>
      <c r="C19" s="318"/>
      <c r="D19" s="302"/>
      <c r="E19" s="302" t="s">
        <v>212</v>
      </c>
      <c r="F19" s="302"/>
      <c r="G19" s="319"/>
      <c r="H19" s="306" t="s">
        <v>302</v>
      </c>
      <c r="I19" s="308" t="s">
        <v>303</v>
      </c>
      <c r="J19" s="308" t="s">
        <v>217</v>
      </c>
      <c r="K19" s="391">
        <v>44285</v>
      </c>
      <c r="S19"/>
      <c r="T19"/>
      <c r="U19"/>
    </row>
    <row r="20" spans="2:21" ht="39.6">
      <c r="B20" s="17" t="s">
        <v>138</v>
      </c>
      <c r="C20" s="318"/>
      <c r="D20" s="302"/>
      <c r="E20" s="302" t="s">
        <v>212</v>
      </c>
      <c r="F20" s="302"/>
      <c r="G20" s="319"/>
      <c r="H20" s="308"/>
      <c r="I20" s="308"/>
      <c r="J20" s="308"/>
      <c r="K20" s="308"/>
      <c r="S20"/>
      <c r="T20"/>
      <c r="U20"/>
    </row>
    <row r="21" spans="2:21" ht="31.5" customHeight="1" thickBot="1">
      <c r="B21" s="163" t="s">
        <v>139</v>
      </c>
      <c r="C21" s="320"/>
      <c r="D21" s="302"/>
      <c r="E21" s="302" t="s">
        <v>212</v>
      </c>
      <c r="F21" s="302"/>
      <c r="G21" s="321"/>
      <c r="H21" s="314"/>
      <c r="I21" s="314"/>
      <c r="J21" s="314"/>
      <c r="K21" s="314"/>
      <c r="S21"/>
      <c r="T21"/>
      <c r="U21"/>
    </row>
    <row r="22" spans="2:21" ht="23.25" customHeight="1" thickBot="1">
      <c r="B22" s="156"/>
      <c r="D22" s="137">
        <f>COUNTIF(D14:D21,"X")</f>
        <v>2</v>
      </c>
      <c r="E22" s="118">
        <f t="shared" ref="E22:F22" si="1">COUNTIF(E14:E21,"X")</f>
        <v>6</v>
      </c>
      <c r="F22" s="138">
        <f t="shared" si="1"/>
        <v>0</v>
      </c>
      <c r="S22"/>
      <c r="T22"/>
      <c r="U22"/>
    </row>
  </sheetData>
  <mergeCells count="5">
    <mergeCell ref="D13:F13"/>
    <mergeCell ref="D3:F3"/>
    <mergeCell ref="B12:C12"/>
    <mergeCell ref="G13:K13"/>
    <mergeCell ref="G3:K3"/>
  </mergeCells>
  <conditionalFormatting sqref="T3:T5">
    <cfRule type="cellIs" dxfId="2" priority="1" operator="greaterThan">
      <formula>0.81</formula>
    </cfRule>
    <cfRule type="cellIs" dxfId="1" priority="2" operator="between">
      <formula>0.51</formula>
      <formula>0.8</formula>
    </cfRule>
    <cfRule type="cellIs" dxfId="0" priority="3" operator="lessThan">
      <formula>0.5</formula>
    </cfRule>
  </conditionalFormatting>
  <dataValidations count="1">
    <dataValidation type="list" allowBlank="1" showInputMessage="1" showErrorMessage="1" sqref="C22 D14:F21 D4:F10 D11" xr:uid="{00000000-0002-0000-0600-000000000000}">
      <formula1>"X"</formula1>
    </dataValidation>
  </dataValidations>
  <pageMargins left="0.7" right="0.7" top="0.75" bottom="0.75" header="0.3" footer="0.3"/>
  <pageSetup scale="5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T49"/>
  <sheetViews>
    <sheetView view="pageBreakPreview" topLeftCell="A7" zoomScale="70" zoomScaleNormal="100" zoomScaleSheetLayoutView="70" workbookViewId="0">
      <selection activeCell="G29" sqref="G29"/>
    </sheetView>
  </sheetViews>
  <sheetFormatPr baseColWidth="10" defaultColWidth="11.44140625" defaultRowHeight="14.4"/>
  <cols>
    <col min="1" max="1" width="3.5546875" style="1" customWidth="1"/>
    <col min="2" max="2" width="70.109375" style="16" customWidth="1"/>
    <col min="3" max="3" width="11.44140625" style="13"/>
    <col min="4" max="4" width="14.88671875" style="13" bestFit="1" customWidth="1"/>
    <col min="5" max="5" width="12" style="13" bestFit="1" customWidth="1"/>
    <col min="6" max="6" width="12.5546875" style="13" bestFit="1" customWidth="1"/>
    <col min="7" max="7" width="23.5546875" style="1" customWidth="1"/>
    <col min="8" max="9" width="16.6640625" style="1" customWidth="1"/>
    <col min="10" max="10" width="20.44140625" style="1" customWidth="1"/>
    <col min="11" max="11" width="16.6640625" style="1" customWidth="1"/>
    <col min="12" max="12" width="11.44140625" style="1"/>
    <col min="13" max="13" width="25.33203125" style="1" customWidth="1"/>
    <col min="14" max="18" width="11.44140625" style="1"/>
    <col min="19" max="19" width="63.5546875" style="1" customWidth="1"/>
    <col min="20" max="16384" width="11.44140625" style="1"/>
  </cols>
  <sheetData>
    <row r="1" spans="2:20" ht="15" thickBot="1">
      <c r="S1" s="178"/>
      <c r="T1" s="178"/>
    </row>
    <row r="2" spans="2:20" ht="28.5" customHeight="1" thickBot="1">
      <c r="B2" s="28" t="s">
        <v>17</v>
      </c>
      <c r="C2" s="29" t="s">
        <v>9</v>
      </c>
      <c r="D2" s="30" t="s">
        <v>4</v>
      </c>
      <c r="E2" s="31" t="s">
        <v>5</v>
      </c>
      <c r="F2" s="32" t="s">
        <v>6</v>
      </c>
      <c r="G2" s="30" t="s">
        <v>7</v>
      </c>
      <c r="H2" s="32" t="s">
        <v>8</v>
      </c>
      <c r="I2" s="32" t="s">
        <v>208</v>
      </c>
      <c r="J2" s="32" t="s">
        <v>224</v>
      </c>
      <c r="K2" s="32" t="s">
        <v>210</v>
      </c>
      <c r="S2" s="182" t="str">
        <f>B3</f>
        <v xml:space="preserve">9.1 Seguimiento, medición, análisis y evaluación  </v>
      </c>
      <c r="T2" s="180">
        <f>D3</f>
        <v>1</v>
      </c>
    </row>
    <row r="3" spans="2:20" ht="16.2" thickBot="1">
      <c r="B3" s="14" t="s">
        <v>20</v>
      </c>
      <c r="C3" s="519"/>
      <c r="D3" s="484">
        <f>AVERAGE(D4,D13)</f>
        <v>1</v>
      </c>
      <c r="E3" s="485"/>
      <c r="F3" s="486"/>
      <c r="G3" s="521"/>
      <c r="H3" s="521"/>
      <c r="I3" s="521"/>
      <c r="J3" s="521"/>
      <c r="K3" s="522"/>
      <c r="S3" s="179" t="str">
        <f>B4</f>
        <v xml:space="preserve">9.1.1 Generalidades  </v>
      </c>
      <c r="T3" s="180">
        <f>D4</f>
        <v>1</v>
      </c>
    </row>
    <row r="4" spans="2:20" ht="15" thickBot="1">
      <c r="B4" s="11" t="s">
        <v>21</v>
      </c>
      <c r="C4" s="519"/>
      <c r="D4" s="534">
        <f>((D12*1)+(E12*0.5)+(F12*0))/6</f>
        <v>1</v>
      </c>
      <c r="E4" s="535"/>
      <c r="F4" s="536"/>
      <c r="G4" s="523"/>
      <c r="H4" s="523"/>
      <c r="I4" s="523"/>
      <c r="J4" s="523"/>
      <c r="K4" s="524"/>
      <c r="S4" s="179" t="str">
        <f>B13</f>
        <v>9.1.2 Evaluación del cumplimiento</v>
      </c>
      <c r="T4" s="180">
        <f>D13</f>
        <v>1</v>
      </c>
    </row>
    <row r="5" spans="2:20" ht="15" thickBot="1">
      <c r="B5" s="2" t="s">
        <v>22</v>
      </c>
      <c r="C5" s="520"/>
      <c r="D5" s="521"/>
      <c r="E5" s="521"/>
      <c r="F5" s="521"/>
      <c r="G5" s="523"/>
      <c r="H5" s="523"/>
      <c r="I5" s="523"/>
      <c r="J5" s="523"/>
      <c r="K5" s="525"/>
      <c r="S5" s="182" t="str">
        <f>B20</f>
        <v>9.2 Auditoría interna</v>
      </c>
      <c r="T5" s="180">
        <f>D20</f>
        <v>1</v>
      </c>
    </row>
    <row r="6" spans="2:20" ht="15" thickBot="1">
      <c r="B6" s="2" t="s">
        <v>18</v>
      </c>
      <c r="C6" s="315"/>
      <c r="D6" s="296" t="s">
        <v>212</v>
      </c>
      <c r="E6" s="297"/>
      <c r="F6" s="298"/>
      <c r="G6" s="322" t="s">
        <v>304</v>
      </c>
      <c r="H6" s="317"/>
      <c r="I6" s="317"/>
      <c r="J6" s="317"/>
      <c r="K6" s="317"/>
      <c r="S6" s="179" t="str">
        <f>B21</f>
        <v>9.2.1 Generalidades</v>
      </c>
      <c r="T6" s="181">
        <f>D21</f>
        <v>1</v>
      </c>
    </row>
    <row r="7" spans="2:20" ht="27" thickBot="1">
      <c r="B7" s="2" t="s">
        <v>19</v>
      </c>
      <c r="C7" s="318"/>
      <c r="D7" s="302" t="s">
        <v>212</v>
      </c>
      <c r="E7" s="303"/>
      <c r="F7" s="304"/>
      <c r="G7" s="319" t="s">
        <v>305</v>
      </c>
      <c r="H7" s="308"/>
      <c r="I7" s="308"/>
      <c r="J7" s="308"/>
      <c r="K7" s="308"/>
      <c r="S7" s="179" t="str">
        <f>B26</f>
        <v>9.2.2 Programa de auditoría interna</v>
      </c>
      <c r="T7" s="181">
        <f>D26</f>
        <v>1</v>
      </c>
    </row>
    <row r="8" spans="2:20" ht="29.4" thickBot="1">
      <c r="B8" s="2" t="s">
        <v>143</v>
      </c>
      <c r="C8" s="318"/>
      <c r="D8" s="302" t="s">
        <v>212</v>
      </c>
      <c r="E8" s="303"/>
      <c r="F8" s="304"/>
      <c r="G8" s="392" t="s">
        <v>306</v>
      </c>
      <c r="H8" s="308"/>
      <c r="I8" s="308"/>
      <c r="J8" s="308"/>
      <c r="K8" s="308"/>
      <c r="S8" s="182" t="str">
        <f>B33</f>
        <v>9.3 Revisión por la dirección</v>
      </c>
      <c r="T8" s="181">
        <f>D33</f>
        <v>0.6</v>
      </c>
    </row>
    <row r="9" spans="2:20" ht="15" thickBot="1">
      <c r="B9" s="2" t="s">
        <v>141</v>
      </c>
      <c r="C9" s="318"/>
      <c r="D9" s="302" t="s">
        <v>212</v>
      </c>
      <c r="E9" s="303"/>
      <c r="F9" s="304"/>
      <c r="G9" s="319" t="s">
        <v>307</v>
      </c>
      <c r="H9" s="308"/>
      <c r="I9" s="308"/>
      <c r="J9" s="308"/>
      <c r="K9" s="308"/>
      <c r="S9" s="182" t="str">
        <f>B2</f>
        <v>9 EVALUACIÓN DEL DESEMPEÑO</v>
      </c>
      <c r="T9" s="181">
        <f>AVERAGE(T2:T8)</f>
        <v>0.94285714285714284</v>
      </c>
    </row>
    <row r="10" spans="2:20">
      <c r="B10" s="2" t="s">
        <v>142</v>
      </c>
      <c r="C10" s="318"/>
      <c r="D10" s="302" t="s">
        <v>212</v>
      </c>
      <c r="E10" s="303"/>
      <c r="F10" s="304"/>
      <c r="G10" s="319" t="s">
        <v>307</v>
      </c>
      <c r="H10" s="308"/>
      <c r="I10" s="308"/>
      <c r="J10" s="308"/>
      <c r="K10" s="308"/>
      <c r="S10"/>
      <c r="T10"/>
    </row>
    <row r="11" spans="2:20" ht="106.2" thickBot="1">
      <c r="B11" s="171" t="s">
        <v>144</v>
      </c>
      <c r="C11" s="318"/>
      <c r="D11" s="310" t="s">
        <v>212</v>
      </c>
      <c r="E11" s="311"/>
      <c r="F11" s="312"/>
      <c r="G11" s="393" t="s">
        <v>308</v>
      </c>
      <c r="H11" s="323"/>
      <c r="I11" s="323"/>
      <c r="J11" s="323"/>
      <c r="K11" s="323"/>
      <c r="S11"/>
      <c r="T11"/>
    </row>
    <row r="12" spans="2:20" ht="16.2" thickBot="1">
      <c r="B12" s="532"/>
      <c r="C12" s="533"/>
      <c r="D12" s="137">
        <f>COUNTIF(D6:D11,"X")</f>
        <v>6</v>
      </c>
      <c r="E12" s="63">
        <f t="shared" ref="E12:F12" si="0">COUNTIF(E6:E11,"X")</f>
        <v>0</v>
      </c>
      <c r="F12" s="63">
        <f t="shared" si="0"/>
        <v>0</v>
      </c>
      <c r="G12" s="7"/>
      <c r="H12" s="6"/>
      <c r="I12" s="6"/>
      <c r="J12" s="6"/>
      <c r="K12" s="6"/>
      <c r="S12"/>
      <c r="T12"/>
    </row>
    <row r="13" spans="2:20" ht="15" thickBot="1">
      <c r="B13" s="12" t="s">
        <v>145</v>
      </c>
      <c r="C13" s="19"/>
      <c r="D13" s="526">
        <f>((D19*1)+(E19*0.5)+(F19*0))/5</f>
        <v>1</v>
      </c>
      <c r="E13" s="527"/>
      <c r="F13" s="528"/>
      <c r="G13" s="516"/>
      <c r="H13" s="517"/>
      <c r="I13" s="517"/>
      <c r="J13" s="517"/>
      <c r="K13" s="518"/>
      <c r="S13"/>
      <c r="T13"/>
    </row>
    <row r="14" spans="2:20" ht="40.200000000000003" thickBot="1">
      <c r="B14" s="17" t="s">
        <v>147</v>
      </c>
      <c r="C14" s="318"/>
      <c r="D14" s="296" t="s">
        <v>212</v>
      </c>
      <c r="E14" s="297"/>
      <c r="F14" s="298"/>
      <c r="G14" s="324" t="s">
        <v>309</v>
      </c>
      <c r="H14" s="325"/>
      <c r="I14" s="325"/>
      <c r="J14" s="325"/>
      <c r="K14" s="325"/>
      <c r="S14"/>
      <c r="T14"/>
    </row>
    <row r="15" spans="2:20" ht="15" thickBot="1">
      <c r="B15" s="18" t="s">
        <v>149</v>
      </c>
      <c r="C15" s="318"/>
      <c r="D15" s="302" t="s">
        <v>212</v>
      </c>
      <c r="E15" s="303"/>
      <c r="F15" s="304"/>
      <c r="G15" s="324" t="s">
        <v>309</v>
      </c>
      <c r="H15" s="308"/>
      <c r="I15" s="308"/>
      <c r="J15" s="308"/>
      <c r="K15" s="308"/>
    </row>
    <row r="16" spans="2:20" ht="15" thickBot="1">
      <c r="B16" s="18" t="s">
        <v>148</v>
      </c>
      <c r="C16" s="318"/>
      <c r="D16" s="302" t="s">
        <v>212</v>
      </c>
      <c r="E16" s="303"/>
      <c r="F16" s="304"/>
      <c r="G16" s="324" t="s">
        <v>309</v>
      </c>
      <c r="H16" s="308"/>
      <c r="I16" s="308"/>
      <c r="J16" s="308"/>
      <c r="K16" s="308"/>
    </row>
    <row r="17" spans="2:14" ht="15" thickBot="1">
      <c r="B17" s="17" t="s">
        <v>146</v>
      </c>
      <c r="C17" s="318"/>
      <c r="D17" s="302" t="s">
        <v>212</v>
      </c>
      <c r="E17" s="303"/>
      <c r="F17" s="304"/>
      <c r="G17" s="324" t="s">
        <v>309</v>
      </c>
      <c r="H17" s="308"/>
      <c r="I17" s="308"/>
      <c r="J17" s="308"/>
      <c r="K17" s="308"/>
      <c r="M17" s="20"/>
      <c r="N17" s="20"/>
    </row>
    <row r="18" spans="2:14" ht="29.4" thickBot="1">
      <c r="B18" s="100" t="s">
        <v>150</v>
      </c>
      <c r="C18" s="318"/>
      <c r="D18" s="326" t="s">
        <v>212</v>
      </c>
      <c r="E18" s="327"/>
      <c r="F18" s="328"/>
      <c r="G18" s="393" t="s">
        <v>310</v>
      </c>
      <c r="H18" s="329"/>
      <c r="I18" s="329"/>
      <c r="J18" s="329"/>
      <c r="K18" s="329"/>
      <c r="M18" s="20"/>
      <c r="N18" s="20"/>
    </row>
    <row r="19" spans="2:14" ht="16.2" thickBot="1">
      <c r="B19" s="513"/>
      <c r="C19" s="514"/>
      <c r="D19" s="65">
        <f>COUNTIF(D14:D18,"X")</f>
        <v>5</v>
      </c>
      <c r="E19" s="63">
        <f t="shared" ref="E19:F19" si="1">COUNTIF(E14:E18,"X")</f>
        <v>0</v>
      </c>
      <c r="F19" s="64">
        <f t="shared" si="1"/>
        <v>0</v>
      </c>
      <c r="G19" s="513"/>
      <c r="H19" s="515"/>
      <c r="I19" s="515"/>
      <c r="J19" s="515"/>
      <c r="K19" s="514"/>
    </row>
    <row r="20" spans="2:14" ht="20.25" customHeight="1" thickBot="1">
      <c r="B20" s="172" t="s">
        <v>23</v>
      </c>
      <c r="C20" s="546"/>
      <c r="D20" s="484">
        <f>AVERAGE(D21,D26)</f>
        <v>1</v>
      </c>
      <c r="E20" s="485"/>
      <c r="F20" s="486"/>
      <c r="G20" s="540"/>
      <c r="H20" s="541"/>
      <c r="I20" s="541"/>
      <c r="J20" s="541"/>
      <c r="K20" s="542"/>
    </row>
    <row r="21" spans="2:14" ht="15" thickBot="1">
      <c r="B21" s="102" t="s">
        <v>152</v>
      </c>
      <c r="C21" s="547"/>
      <c r="D21" s="526">
        <f>((D25*1)+(E25*0.5)+(F25*0))/2</f>
        <v>1</v>
      </c>
      <c r="E21" s="527"/>
      <c r="F21" s="528"/>
      <c r="G21" s="543"/>
      <c r="H21" s="544"/>
      <c r="I21" s="544"/>
      <c r="J21" s="544"/>
      <c r="K21" s="545"/>
    </row>
    <row r="22" spans="2:14" ht="27" thickBot="1">
      <c r="B22" s="101" t="s">
        <v>151</v>
      </c>
      <c r="C22" s="537"/>
      <c r="D22" s="538"/>
      <c r="E22" s="538"/>
      <c r="F22" s="538"/>
      <c r="G22" s="538"/>
      <c r="H22" s="538"/>
      <c r="I22" s="538"/>
      <c r="J22" s="538"/>
      <c r="K22" s="539"/>
    </row>
    <row r="23" spans="2:14" ht="43.2">
      <c r="B23" s="155" t="s">
        <v>184</v>
      </c>
      <c r="C23" s="315"/>
      <c r="D23" s="330" t="s">
        <v>212</v>
      </c>
      <c r="E23" s="331"/>
      <c r="F23" s="332"/>
      <c r="G23" s="393" t="s">
        <v>325</v>
      </c>
      <c r="H23" s="317"/>
      <c r="I23" s="317"/>
      <c r="J23" s="317"/>
      <c r="K23" s="317"/>
    </row>
    <row r="24" spans="2:14" ht="50.25" customHeight="1" thickBot="1">
      <c r="B24" s="18" t="s">
        <v>183</v>
      </c>
      <c r="C24" s="318"/>
      <c r="D24" s="310" t="s">
        <v>212</v>
      </c>
      <c r="E24" s="311"/>
      <c r="F24" s="312"/>
      <c r="G24" s="393" t="s">
        <v>312</v>
      </c>
      <c r="H24" s="314"/>
      <c r="I24" s="314"/>
      <c r="J24" s="314"/>
      <c r="K24" s="314"/>
    </row>
    <row r="25" spans="2:14" ht="16.2" thickBot="1">
      <c r="B25" s="513"/>
      <c r="C25" s="514"/>
      <c r="D25" s="65">
        <f>COUNTIF(D22:D24,"X")</f>
        <v>2</v>
      </c>
      <c r="E25" s="63">
        <f>COUNTIF(E22:E24,"X")</f>
        <v>0</v>
      </c>
      <c r="F25" s="64">
        <f>COUNTIF(F22:F24,"X")</f>
        <v>0</v>
      </c>
      <c r="G25" s="513"/>
      <c r="H25" s="515"/>
      <c r="I25" s="515"/>
      <c r="J25" s="515"/>
      <c r="K25" s="514"/>
    </row>
    <row r="26" spans="2:14" ht="15" thickBot="1">
      <c r="B26" s="173" t="s">
        <v>153</v>
      </c>
      <c r="C26" s="19"/>
      <c r="D26" s="529">
        <f>((D32*1)+(E32*0.5)+(F32*0))/5</f>
        <v>1</v>
      </c>
      <c r="E26" s="530"/>
      <c r="F26" s="531"/>
      <c r="G26" s="516"/>
      <c r="H26" s="517"/>
      <c r="I26" s="517"/>
      <c r="J26" s="517"/>
      <c r="K26" s="518"/>
    </row>
    <row r="27" spans="2:14" ht="79.2">
      <c r="B27" s="174" t="s">
        <v>154</v>
      </c>
      <c r="C27" s="333"/>
      <c r="D27" s="334" t="s">
        <v>212</v>
      </c>
      <c r="E27" s="297"/>
      <c r="F27" s="298"/>
      <c r="G27" s="393" t="s">
        <v>311</v>
      </c>
      <c r="H27" s="325"/>
      <c r="I27" s="325"/>
      <c r="J27" s="325"/>
      <c r="K27" s="325"/>
    </row>
    <row r="28" spans="2:14">
      <c r="B28" s="2" t="s">
        <v>155</v>
      </c>
      <c r="C28" s="318"/>
      <c r="D28" s="335" t="s">
        <v>212</v>
      </c>
      <c r="E28" s="303"/>
      <c r="F28" s="304"/>
      <c r="G28" s="319" t="s">
        <v>313</v>
      </c>
      <c r="H28" s="308"/>
      <c r="I28" s="308"/>
      <c r="J28" s="308"/>
      <c r="K28" s="308"/>
    </row>
    <row r="29" spans="2:14" ht="26.4">
      <c r="B29" s="2" t="s">
        <v>24</v>
      </c>
      <c r="C29" s="318"/>
      <c r="D29" s="335" t="s">
        <v>212</v>
      </c>
      <c r="E29" s="303"/>
      <c r="F29" s="304"/>
      <c r="G29" s="393" t="s">
        <v>314</v>
      </c>
      <c r="H29" s="308"/>
      <c r="I29" s="308"/>
      <c r="J29" s="308"/>
      <c r="K29" s="308"/>
    </row>
    <row r="30" spans="2:14" ht="26.4">
      <c r="B30" s="15" t="s">
        <v>156</v>
      </c>
      <c r="C30" s="318"/>
      <c r="D30" s="335" t="s">
        <v>212</v>
      </c>
      <c r="E30" s="303"/>
      <c r="F30" s="304"/>
      <c r="G30" s="319" t="s">
        <v>315</v>
      </c>
      <c r="H30" s="308"/>
      <c r="I30" s="308"/>
      <c r="J30" s="308"/>
      <c r="K30" s="308"/>
    </row>
    <row r="31" spans="2:14" ht="27" thickBot="1">
      <c r="B31" s="175" t="s">
        <v>157</v>
      </c>
      <c r="C31" s="320"/>
      <c r="D31" s="336" t="s">
        <v>212</v>
      </c>
      <c r="E31" s="311"/>
      <c r="F31" s="312"/>
      <c r="G31" s="321" t="s">
        <v>316</v>
      </c>
      <c r="H31" s="314"/>
      <c r="I31" s="314"/>
      <c r="J31" s="314"/>
      <c r="K31" s="314"/>
    </row>
    <row r="32" spans="2:14" ht="16.2" thickBot="1">
      <c r="B32" s="177"/>
      <c r="C32" s="176"/>
      <c r="D32" s="65">
        <f>COUNTIF(D27:D31,"X")</f>
        <v>5</v>
      </c>
      <c r="E32" s="65">
        <f t="shared" ref="E32:F32" si="2">COUNTIF(E27:E31,"X")</f>
        <v>0</v>
      </c>
      <c r="F32" s="63">
        <f t="shared" si="2"/>
        <v>0</v>
      </c>
      <c r="G32" s="98"/>
      <c r="H32" s="99"/>
      <c r="I32" s="99"/>
      <c r="J32" s="99"/>
      <c r="K32" s="99"/>
    </row>
    <row r="33" spans="2:11" ht="16.2" thickBot="1">
      <c r="B33" s="102" t="s">
        <v>25</v>
      </c>
      <c r="C33" s="166"/>
      <c r="D33" s="484">
        <f>((D49*1)+(E49*0.5)+(F49*0))/15</f>
        <v>0.6</v>
      </c>
      <c r="E33" s="485"/>
      <c r="F33" s="486"/>
      <c r="G33" s="516"/>
      <c r="H33" s="517"/>
      <c r="I33" s="517"/>
      <c r="J33" s="517"/>
      <c r="K33" s="518"/>
    </row>
    <row r="34" spans="2:11" ht="39.6">
      <c r="B34" s="101" t="s">
        <v>158</v>
      </c>
      <c r="C34" s="337"/>
      <c r="D34" s="296" t="s">
        <v>212</v>
      </c>
      <c r="E34" s="297"/>
      <c r="F34" s="298"/>
      <c r="G34" s="319"/>
      <c r="H34" s="308"/>
      <c r="I34" s="308"/>
      <c r="J34" s="308"/>
      <c r="K34" s="308"/>
    </row>
    <row r="35" spans="2:11" ht="28.8">
      <c r="B35" s="2" t="s">
        <v>185</v>
      </c>
      <c r="C35" s="301"/>
      <c r="D35" s="302"/>
      <c r="E35" s="303" t="s">
        <v>212</v>
      </c>
      <c r="F35" s="304"/>
      <c r="G35" s="319" t="s">
        <v>317</v>
      </c>
      <c r="H35" s="306" t="s">
        <v>318</v>
      </c>
      <c r="I35" s="306" t="s">
        <v>319</v>
      </c>
      <c r="J35" s="308" t="s">
        <v>217</v>
      </c>
      <c r="K35" s="391">
        <v>44270</v>
      </c>
    </row>
    <row r="36" spans="2:11" ht="96" customHeight="1">
      <c r="B36" s="103" t="s">
        <v>186</v>
      </c>
      <c r="C36" s="301"/>
      <c r="D36" s="302"/>
      <c r="E36" s="303" t="s">
        <v>212</v>
      </c>
      <c r="F36" s="304"/>
      <c r="G36" s="319"/>
      <c r="H36" s="308"/>
      <c r="I36" s="308"/>
      <c r="J36" s="308"/>
      <c r="K36" s="308"/>
    </row>
    <row r="37" spans="2:11" ht="18" customHeight="1">
      <c r="B37" s="2" t="s">
        <v>187</v>
      </c>
      <c r="C37" s="301"/>
      <c r="D37" s="302"/>
      <c r="E37" s="303" t="s">
        <v>212</v>
      </c>
      <c r="F37" s="304"/>
      <c r="G37" s="319"/>
      <c r="H37" s="308"/>
      <c r="I37" s="308"/>
      <c r="J37" s="308"/>
      <c r="K37" s="308"/>
    </row>
    <row r="38" spans="2:11" ht="89.25" customHeight="1">
      <c r="B38" s="103" t="s">
        <v>188</v>
      </c>
      <c r="C38" s="301"/>
      <c r="D38" s="302"/>
      <c r="E38" s="303" t="s">
        <v>212</v>
      </c>
      <c r="F38" s="304"/>
      <c r="G38" s="319"/>
      <c r="H38" s="308"/>
      <c r="I38" s="308"/>
      <c r="J38" s="308"/>
      <c r="K38" s="308"/>
    </row>
    <row r="39" spans="2:11">
      <c r="B39" s="2" t="s">
        <v>189</v>
      </c>
      <c r="C39" s="301"/>
      <c r="D39" s="302"/>
      <c r="E39" s="303" t="s">
        <v>212</v>
      </c>
      <c r="F39" s="304"/>
      <c r="G39" s="319"/>
      <c r="H39" s="308"/>
      <c r="I39" s="308"/>
      <c r="J39" s="308"/>
      <c r="K39" s="308"/>
    </row>
    <row r="40" spans="2:11" ht="27.75" customHeight="1">
      <c r="B40" s="2" t="s">
        <v>190</v>
      </c>
      <c r="C40" s="301"/>
      <c r="D40" s="302"/>
      <c r="E40" s="303" t="s">
        <v>212</v>
      </c>
      <c r="F40" s="304"/>
      <c r="G40" s="319"/>
      <c r="H40" s="308"/>
      <c r="I40" s="308"/>
      <c r="J40" s="308"/>
      <c r="K40" s="308"/>
    </row>
    <row r="41" spans="2:11">
      <c r="B41" s="2" t="s">
        <v>191</v>
      </c>
      <c r="C41" s="301"/>
      <c r="D41" s="302"/>
      <c r="E41" s="303" t="s">
        <v>212</v>
      </c>
      <c r="F41" s="304"/>
      <c r="G41" s="319"/>
      <c r="H41" s="308"/>
      <c r="I41" s="308"/>
      <c r="J41" s="308"/>
      <c r="K41" s="308"/>
    </row>
    <row r="42" spans="2:11" ht="31.5" customHeight="1">
      <c r="B42" s="2" t="s">
        <v>192</v>
      </c>
      <c r="C42" s="301"/>
      <c r="D42" s="302"/>
      <c r="E42" s="303" t="s">
        <v>212</v>
      </c>
      <c r="F42" s="304"/>
      <c r="G42" s="319"/>
      <c r="H42" s="308"/>
      <c r="I42" s="308"/>
      <c r="J42" s="308"/>
      <c r="K42" s="308"/>
    </row>
    <row r="43" spans="2:11" ht="26.4">
      <c r="B43" s="2" t="s">
        <v>193</v>
      </c>
      <c r="C43" s="301"/>
      <c r="D43" s="302"/>
      <c r="E43" s="303" t="s">
        <v>212</v>
      </c>
      <c r="F43" s="304"/>
      <c r="G43" s="319"/>
      <c r="H43" s="308"/>
      <c r="I43" s="308"/>
      <c r="J43" s="308"/>
      <c r="K43" s="308"/>
    </row>
    <row r="44" spans="2:11" ht="39.6">
      <c r="B44" s="2" t="s">
        <v>194</v>
      </c>
      <c r="C44" s="301"/>
      <c r="D44" s="302"/>
      <c r="E44" s="303" t="s">
        <v>212</v>
      </c>
      <c r="F44" s="304"/>
      <c r="G44" s="319"/>
      <c r="H44" s="308"/>
      <c r="I44" s="308"/>
      <c r="J44" s="308"/>
      <c r="K44" s="308"/>
    </row>
    <row r="45" spans="2:11" ht="26.4">
      <c r="B45" s="2" t="s">
        <v>195</v>
      </c>
      <c r="C45" s="301"/>
      <c r="D45" s="302"/>
      <c r="E45" s="303" t="s">
        <v>212</v>
      </c>
      <c r="F45" s="304"/>
      <c r="G45" s="319"/>
      <c r="H45" s="308"/>
      <c r="I45" s="308"/>
      <c r="J45" s="308"/>
      <c r="K45" s="308"/>
    </row>
    <row r="46" spans="2:11" ht="39.6">
      <c r="B46" s="2" t="s">
        <v>196</v>
      </c>
      <c r="C46" s="301"/>
      <c r="D46" s="302"/>
      <c r="E46" s="303" t="s">
        <v>212</v>
      </c>
      <c r="F46" s="304"/>
      <c r="G46" s="319"/>
      <c r="H46" s="308"/>
      <c r="I46" s="308"/>
      <c r="J46" s="308"/>
      <c r="K46" s="308"/>
    </row>
    <row r="47" spans="2:11" ht="30" customHeight="1">
      <c r="B47" s="2" t="s">
        <v>197</v>
      </c>
      <c r="C47" s="301"/>
      <c r="D47" s="302" t="s">
        <v>212</v>
      </c>
      <c r="E47" s="303"/>
      <c r="F47" s="304"/>
      <c r="G47" s="319"/>
      <c r="H47" s="308"/>
      <c r="I47" s="308"/>
      <c r="J47" s="308"/>
      <c r="K47" s="308"/>
    </row>
    <row r="48" spans="2:11" ht="27" thickBot="1">
      <c r="B48" s="103" t="s">
        <v>198</v>
      </c>
      <c r="C48" s="301"/>
      <c r="D48" s="310" t="s">
        <v>212</v>
      </c>
      <c r="E48" s="311"/>
      <c r="F48" s="312"/>
      <c r="G48" s="319"/>
      <c r="H48" s="308"/>
      <c r="I48" s="308"/>
      <c r="J48" s="308"/>
      <c r="K48" s="308"/>
    </row>
    <row r="49" spans="2:11" ht="16.2" thickBot="1">
      <c r="B49" s="2"/>
      <c r="C49" s="9"/>
      <c r="D49" s="65">
        <f>COUNTIF(D34:D48,"X")</f>
        <v>3</v>
      </c>
      <c r="E49" s="63">
        <f t="shared" ref="E49:F49" si="3">COUNTIF(E34:E48,"X")</f>
        <v>12</v>
      </c>
      <c r="F49" s="64">
        <f t="shared" si="3"/>
        <v>0</v>
      </c>
      <c r="G49" s="4"/>
      <c r="H49" s="3"/>
      <c r="I49" s="3"/>
      <c r="J49" s="3"/>
      <c r="K49" s="3"/>
    </row>
  </sheetData>
  <mergeCells count="21">
    <mergeCell ref="C3:C5"/>
    <mergeCell ref="G3:K5"/>
    <mergeCell ref="D13:F13"/>
    <mergeCell ref="D20:F20"/>
    <mergeCell ref="D26:F26"/>
    <mergeCell ref="D3:F3"/>
    <mergeCell ref="D21:F21"/>
    <mergeCell ref="B12:C12"/>
    <mergeCell ref="D4:F4"/>
    <mergeCell ref="D5:F5"/>
    <mergeCell ref="B19:C19"/>
    <mergeCell ref="G13:K13"/>
    <mergeCell ref="C22:K22"/>
    <mergeCell ref="G20:K21"/>
    <mergeCell ref="C20:C21"/>
    <mergeCell ref="G19:K19"/>
    <mergeCell ref="D33:F33"/>
    <mergeCell ref="B25:C25"/>
    <mergeCell ref="G25:K25"/>
    <mergeCell ref="G26:K26"/>
    <mergeCell ref="G33:K33"/>
  </mergeCells>
  <dataValidations count="1">
    <dataValidation type="list" allowBlank="1" showInputMessage="1" showErrorMessage="1" sqref="D14:F18 C49 D6:F11 D23:F24 C25 D27:F31 D34:F48" xr:uid="{00000000-0002-0000-0700-000000000000}">
      <formula1>"X"</formula1>
    </dataValidation>
  </dataValidations>
  <pageMargins left="0.7" right="0.7" top="0.75" bottom="0.75" header="0.3" footer="0.3"/>
  <pageSetup scale="50" orientation="portrait" r:id="rId1"/>
  <colBreaks count="1" manualBreakCount="1">
    <brk id="1" max="63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Q18"/>
  <sheetViews>
    <sheetView view="pageBreakPreview" zoomScaleNormal="100" zoomScaleSheetLayoutView="100" workbookViewId="0">
      <selection activeCell="C1" sqref="C1"/>
    </sheetView>
  </sheetViews>
  <sheetFormatPr baseColWidth="10" defaultColWidth="11.44140625" defaultRowHeight="14.4"/>
  <cols>
    <col min="1" max="1" width="3.6640625" style="1" customWidth="1"/>
    <col min="2" max="2" width="81.33203125" style="1" bestFit="1" customWidth="1"/>
    <col min="3" max="3" width="11.44140625" style="1"/>
    <col min="4" max="4" width="12" style="1" bestFit="1" customWidth="1"/>
    <col min="5" max="6" width="11.44140625" style="1"/>
    <col min="7" max="7" width="29.109375" style="1" customWidth="1"/>
    <col min="8" max="8" width="13.33203125" style="1" customWidth="1"/>
    <col min="9" max="9" width="26.5546875" style="1" customWidth="1"/>
    <col min="10" max="10" width="21" style="1" customWidth="1"/>
    <col min="11" max="11" width="13.33203125" style="1" customWidth="1"/>
    <col min="12" max="13" width="11.44140625" style="1"/>
    <col min="14" max="14" width="36.6640625" style="1" customWidth="1"/>
    <col min="15" max="15" width="13.33203125" style="1" customWidth="1"/>
    <col min="16" max="16" width="44" style="1" bestFit="1" customWidth="1"/>
    <col min="17" max="17" width="6.88671875" style="1" customWidth="1"/>
    <col min="18" max="16384" width="11.44140625" style="1"/>
  </cols>
  <sheetData>
    <row r="1" spans="2:17" ht="15" thickBot="1"/>
    <row r="2" spans="2:17" ht="29.4" thickBot="1">
      <c r="B2" s="33" t="s">
        <v>26</v>
      </c>
      <c r="C2" s="29" t="s">
        <v>9</v>
      </c>
      <c r="D2" s="30" t="s">
        <v>4</v>
      </c>
      <c r="E2" s="31" t="s">
        <v>5</v>
      </c>
      <c r="F2" s="32" t="s">
        <v>6</v>
      </c>
      <c r="G2" s="30" t="s">
        <v>7</v>
      </c>
      <c r="H2" s="32" t="s">
        <v>8</v>
      </c>
      <c r="I2" s="32" t="s">
        <v>208</v>
      </c>
      <c r="J2" s="32" t="s">
        <v>224</v>
      </c>
      <c r="K2" s="32" t="s">
        <v>210</v>
      </c>
    </row>
    <row r="3" spans="2:17" ht="15" thickBot="1">
      <c r="B3" s="22" t="s">
        <v>27</v>
      </c>
      <c r="C3" s="187"/>
      <c r="D3" s="549">
        <f>((D5*1)+(E5*0.5)+(F5*0))/1</f>
        <v>1</v>
      </c>
      <c r="E3" s="550"/>
      <c r="F3" s="551"/>
      <c r="G3" s="548"/>
      <c r="H3" s="521"/>
      <c r="I3" s="521"/>
      <c r="J3" s="521"/>
      <c r="K3" s="522"/>
    </row>
    <row r="4" spans="2:17" ht="40.200000000000003" thickBot="1">
      <c r="B4" s="183" t="s">
        <v>159</v>
      </c>
      <c r="C4" s="315"/>
      <c r="D4" s="338" t="s">
        <v>212</v>
      </c>
      <c r="E4" s="339"/>
      <c r="F4" s="340"/>
      <c r="G4" s="341"/>
      <c r="H4" s="342"/>
      <c r="I4" s="342"/>
      <c r="J4" s="342"/>
      <c r="K4" s="342"/>
      <c r="P4" s="196" t="str">
        <f>B3</f>
        <v>10.1 Generalidades</v>
      </c>
      <c r="Q4" s="190">
        <f>D3</f>
        <v>1</v>
      </c>
    </row>
    <row r="5" spans="2:17" ht="16.2" thickBot="1">
      <c r="B5" s="557"/>
      <c r="C5" s="558"/>
      <c r="D5" s="137">
        <f>COUNTIF(D4:D4,"X")</f>
        <v>1</v>
      </c>
      <c r="E5" s="63">
        <f>COUNTIF(E4:E4,"X")</f>
        <v>0</v>
      </c>
      <c r="F5" s="63">
        <f>COUNTIF(F4:F4,"X")</f>
        <v>0</v>
      </c>
      <c r="G5" s="559"/>
      <c r="H5" s="560"/>
      <c r="I5" s="560"/>
      <c r="J5" s="560"/>
      <c r="K5" s="561"/>
      <c r="P5" s="196" t="str">
        <f>B6</f>
        <v>10.2 No conformidad y acción correctiva</v>
      </c>
      <c r="Q5" s="191">
        <f>D6</f>
        <v>0.5</v>
      </c>
    </row>
    <row r="6" spans="2:17" ht="15" thickBot="1">
      <c r="B6" s="186" t="s">
        <v>28</v>
      </c>
      <c r="C6" s="562"/>
      <c r="D6" s="549">
        <f>((D15*1)+(E15*0.5)+(F15*0))/7</f>
        <v>0.5</v>
      </c>
      <c r="E6" s="550"/>
      <c r="F6" s="551"/>
      <c r="G6" s="564"/>
      <c r="H6" s="565"/>
      <c r="I6" s="565"/>
      <c r="J6" s="565"/>
      <c r="K6" s="566"/>
      <c r="P6" s="195" t="str">
        <f>B16</f>
        <v>10.3 Mejora continua</v>
      </c>
      <c r="Q6" s="192">
        <f>D16</f>
        <v>0.5</v>
      </c>
    </row>
    <row r="7" spans="2:17" ht="15" thickBot="1">
      <c r="B7" s="21" t="s">
        <v>160</v>
      </c>
      <c r="C7" s="563"/>
      <c r="D7" s="552"/>
      <c r="E7" s="553"/>
      <c r="F7" s="554"/>
      <c r="G7" s="520"/>
      <c r="H7" s="567"/>
      <c r="I7" s="567"/>
      <c r="J7" s="567"/>
      <c r="K7" s="568"/>
      <c r="P7" s="193" t="str">
        <f>B2</f>
        <v>10. MEJORA</v>
      </c>
      <c r="Q7" s="194">
        <f>AVERAGE(Q4:Q6)</f>
        <v>0.66666666666666663</v>
      </c>
    </row>
    <row r="8" spans="2:17" ht="39.6">
      <c r="B8" s="188" t="s">
        <v>199</v>
      </c>
      <c r="C8" s="315"/>
      <c r="D8" s="343"/>
      <c r="E8" s="343" t="s">
        <v>212</v>
      </c>
      <c r="F8" s="332"/>
      <c r="G8" s="319"/>
      <c r="H8" s="308"/>
      <c r="I8" s="308"/>
      <c r="J8" s="308"/>
      <c r="K8" s="308"/>
    </row>
    <row r="9" spans="2:17" ht="79.2">
      <c r="B9" s="188" t="s">
        <v>200</v>
      </c>
      <c r="C9" s="315"/>
      <c r="D9" s="335"/>
      <c r="E9" s="303" t="s">
        <v>212</v>
      </c>
      <c r="F9" s="304"/>
      <c r="G9" s="306" t="s">
        <v>320</v>
      </c>
      <c r="H9" s="308"/>
      <c r="I9" s="306" t="s">
        <v>321</v>
      </c>
      <c r="J9" s="308" t="s">
        <v>322</v>
      </c>
      <c r="K9" s="308" t="s">
        <v>234</v>
      </c>
    </row>
    <row r="10" spans="2:17">
      <c r="B10" s="21" t="s">
        <v>201</v>
      </c>
      <c r="C10" s="315"/>
      <c r="D10" s="335"/>
      <c r="E10" s="303" t="s">
        <v>212</v>
      </c>
      <c r="F10" s="304"/>
      <c r="G10" s="319"/>
      <c r="H10" s="308"/>
      <c r="I10" s="308"/>
      <c r="J10" s="308"/>
      <c r="K10" s="308"/>
    </row>
    <row r="11" spans="2:17">
      <c r="B11" s="21" t="s">
        <v>202</v>
      </c>
      <c r="C11" s="315"/>
      <c r="D11" s="335"/>
      <c r="E11" s="303" t="s">
        <v>212</v>
      </c>
      <c r="F11" s="304"/>
      <c r="G11" s="319"/>
      <c r="H11" s="308"/>
      <c r="I11" s="308"/>
      <c r="J11" s="308"/>
      <c r="K11" s="308"/>
    </row>
    <row r="12" spans="2:17">
      <c r="B12" s="21" t="s">
        <v>203</v>
      </c>
      <c r="C12" s="315"/>
      <c r="D12" s="335"/>
      <c r="E12" s="303" t="s">
        <v>212</v>
      </c>
      <c r="F12" s="304"/>
      <c r="G12" s="319" t="s">
        <v>323</v>
      </c>
      <c r="H12" s="308"/>
      <c r="I12" s="308"/>
      <c r="J12" s="308"/>
      <c r="K12" s="308"/>
    </row>
    <row r="13" spans="2:17" ht="26.4">
      <c r="B13" s="21" t="s">
        <v>161</v>
      </c>
      <c r="C13" s="315"/>
      <c r="D13" s="335"/>
      <c r="E13" s="303" t="s">
        <v>212</v>
      </c>
      <c r="F13" s="304"/>
      <c r="G13" s="319"/>
      <c r="H13" s="308"/>
      <c r="I13" s="308"/>
      <c r="J13" s="308"/>
      <c r="K13" s="308"/>
    </row>
    <row r="14" spans="2:17" ht="40.200000000000003" thickBot="1">
      <c r="B14" s="189" t="s">
        <v>204</v>
      </c>
      <c r="C14" s="315"/>
      <c r="D14" s="344"/>
      <c r="E14" s="303" t="s">
        <v>212</v>
      </c>
      <c r="F14" s="304"/>
      <c r="G14" s="319"/>
      <c r="H14" s="308"/>
      <c r="I14" s="308"/>
      <c r="J14" s="308"/>
      <c r="K14" s="308"/>
    </row>
    <row r="15" spans="2:17" ht="16.2" thickBot="1">
      <c r="B15" s="555"/>
      <c r="C15" s="556"/>
      <c r="D15" s="63">
        <f>COUNTIF(D8:D14,"X")</f>
        <v>0</v>
      </c>
      <c r="E15" s="63">
        <f>COUNTIF(E8:E14,"X")</f>
        <v>7</v>
      </c>
      <c r="F15" s="63">
        <f>COUNTIF(F8:F14,"X")</f>
        <v>0</v>
      </c>
      <c r="G15" s="23"/>
      <c r="H15" s="24"/>
      <c r="I15" s="24"/>
      <c r="J15" s="24"/>
      <c r="K15" s="24"/>
    </row>
    <row r="16" spans="2:17" ht="15" thickBot="1">
      <c r="B16" s="184" t="s">
        <v>29</v>
      </c>
      <c r="C16" s="185"/>
      <c r="D16" s="534">
        <f>((D18*1)+(E18*0.5)+(F18*0))/1</f>
        <v>0.5</v>
      </c>
      <c r="E16" s="535"/>
      <c r="F16" s="536"/>
      <c r="G16" s="23"/>
      <c r="H16" s="24"/>
      <c r="I16" s="24"/>
      <c r="J16" s="24"/>
      <c r="K16" s="24"/>
    </row>
    <row r="17" spans="2:11" ht="27" thickBot="1">
      <c r="B17" s="8" t="s">
        <v>162</v>
      </c>
      <c r="C17" s="345"/>
      <c r="D17" s="343"/>
      <c r="E17" s="331" t="s">
        <v>212</v>
      </c>
      <c r="F17" s="332"/>
      <c r="G17" s="346"/>
      <c r="H17" s="347"/>
      <c r="I17" s="347"/>
      <c r="J17" s="347"/>
      <c r="K17" s="347"/>
    </row>
    <row r="18" spans="2:11" ht="16.2" thickBot="1">
      <c r="B18" s="5"/>
      <c r="C18" s="10"/>
      <c r="D18" s="137">
        <f>COUNTIF(D17,"X")</f>
        <v>0</v>
      </c>
      <c r="E18" s="63">
        <f>COUNTIF(E17,"X")</f>
        <v>1</v>
      </c>
      <c r="F18" s="63">
        <f>COUNTIF(F17,"X")</f>
        <v>0</v>
      </c>
      <c r="G18" s="7"/>
      <c r="H18" s="6"/>
      <c r="I18" s="6"/>
      <c r="J18" s="6"/>
      <c r="K18" s="6"/>
    </row>
  </sheetData>
  <mergeCells count="9">
    <mergeCell ref="G3:K3"/>
    <mergeCell ref="D6:F7"/>
    <mergeCell ref="D16:F16"/>
    <mergeCell ref="D3:F3"/>
    <mergeCell ref="B15:C15"/>
    <mergeCell ref="B5:C5"/>
    <mergeCell ref="G5:K5"/>
    <mergeCell ref="C6:C7"/>
    <mergeCell ref="G6:K7"/>
  </mergeCells>
  <dataValidations count="1">
    <dataValidation type="list" allowBlank="1" showInputMessage="1" showErrorMessage="1" sqref="D4:F4 D17:F17 D8:F14" xr:uid="{00000000-0002-0000-0800-000000000000}">
      <formula1>"X"</formula1>
    </dataValidation>
  </dataValidations>
  <pageMargins left="0.7" right="0.7" top="0.75" bottom="0.75" header="0.3" footer="0.3"/>
  <pageSetup scale="60" orientation="portrait" r:id="rId1"/>
  <colBreaks count="1" manualBreakCount="1">
    <brk id="1" min="1" max="23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"/>
  <sheetViews>
    <sheetView workbookViewId="0">
      <selection activeCell="H69" sqref="H69"/>
    </sheetView>
  </sheetViews>
  <sheetFormatPr baseColWidth="10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6</vt:i4>
      </vt:variant>
    </vt:vector>
  </HeadingPairs>
  <TitlesOfParts>
    <vt:vector size="16" baseType="lpstr">
      <vt:lpstr>RESUMEN CONSOLIDADO</vt:lpstr>
      <vt:lpstr>RESUMEN POR CAPÍTULO</vt:lpstr>
      <vt:lpstr>CONTEXTO</vt:lpstr>
      <vt:lpstr>LIDERAZGO</vt:lpstr>
      <vt:lpstr>PLANIFICACIÓN</vt:lpstr>
      <vt:lpstr>APOYO</vt:lpstr>
      <vt:lpstr>OPERACIÓN</vt:lpstr>
      <vt:lpstr>EVALUACIÓN DEL DESEMPEÑO</vt:lpstr>
      <vt:lpstr>MEJORA</vt:lpstr>
      <vt:lpstr>PLAN DE ACCIÓN</vt:lpstr>
      <vt:lpstr>CONTEXTO!Área_de_impresión</vt:lpstr>
      <vt:lpstr>'EVALUACIÓN DEL DESEMPEÑO'!Área_de_impresión</vt:lpstr>
      <vt:lpstr>LIDERAZGO!Área_de_impresión</vt:lpstr>
      <vt:lpstr>MEJORA!Área_de_impresión</vt:lpstr>
      <vt:lpstr>OPERACIÓN!Área_de_impresión</vt:lpstr>
      <vt:lpstr>PLANIFICACIÓN!Área_de_impresión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vsabogal</dc:creator>
  <cp:lastModifiedBy>Vidal Prudencio Albor Albor</cp:lastModifiedBy>
  <cp:lastPrinted>2017-03-01T14:48:34Z</cp:lastPrinted>
  <dcterms:created xsi:type="dcterms:W3CDTF">2015-01-27T19:45:44Z</dcterms:created>
  <dcterms:modified xsi:type="dcterms:W3CDTF">2025-07-15T22:02:45Z</dcterms:modified>
</cp:coreProperties>
</file>